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cap\Dropbox\EMLStat Files\DepEd Working Directory\SF2\"/>
    </mc:Choice>
  </mc:AlternateContent>
  <xr:revisionPtr revIDLastSave="0" documentId="13_ncr:1_{196E7E8D-43CF-4E5D-B0D8-C461F8DDFFA8}" xr6:coauthVersionLast="47" xr6:coauthVersionMax="47" xr10:uidLastSave="{00000000-0000-0000-0000-000000000000}"/>
  <workbookProtection workbookAlgorithmName="SHA-512" workbookHashValue="3hRXzjj1NwSbSld8FeuBRmTjQ1yXaOJwbVXE9IUuT7rOEoVXe1WFiy02Iryu78NmY9z1XefYcZeTML9O/5twKA==" workbookSaltValue="5oLRal3uBH+2lCe5+sYJZg==" workbookSpinCount="100000" lockStructure="1"/>
  <bookViews>
    <workbookView xWindow="-108" yWindow="-108" windowWidth="23256" windowHeight="12456" xr2:uid="{7AD6CEEC-0A33-4670-A44B-34CC4623D72B}"/>
  </bookViews>
  <sheets>
    <sheet name="sf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01" i="1" l="1"/>
  <c r="AM103" i="1" s="1"/>
  <c r="AM99" i="1"/>
  <c r="H94" i="1"/>
  <c r="I94" i="1"/>
  <c r="J94" i="1"/>
  <c r="K94" i="1"/>
  <c r="L94" i="1"/>
  <c r="M94" i="1"/>
  <c r="N94" i="1"/>
  <c r="O94" i="1"/>
  <c r="P94" i="1"/>
  <c r="Q94" i="1"/>
  <c r="R94" i="1"/>
  <c r="S94" i="1"/>
  <c r="T94" i="1"/>
  <c r="U94" i="1"/>
  <c r="V94" i="1"/>
  <c r="W94" i="1"/>
  <c r="X94" i="1"/>
  <c r="Y94" i="1"/>
  <c r="Z94" i="1"/>
  <c r="AA94" i="1"/>
  <c r="AB94" i="1"/>
  <c r="AC94" i="1"/>
  <c r="AD94" i="1"/>
  <c r="AE94" i="1"/>
  <c r="G94" i="1"/>
  <c r="H53" i="1"/>
  <c r="I53" i="1"/>
  <c r="J53" i="1"/>
  <c r="K53" i="1"/>
  <c r="L53" i="1"/>
  <c r="M53" i="1"/>
  <c r="N53" i="1"/>
  <c r="O53" i="1"/>
  <c r="P53" i="1"/>
  <c r="Q53" i="1"/>
  <c r="R53" i="1"/>
  <c r="S53" i="1"/>
  <c r="T53" i="1"/>
  <c r="U53" i="1"/>
  <c r="V53" i="1"/>
  <c r="W53" i="1"/>
  <c r="X53" i="1"/>
  <c r="Y53" i="1"/>
  <c r="Z53" i="1"/>
  <c r="AA53" i="1"/>
  <c r="AB53" i="1"/>
  <c r="AC53" i="1"/>
  <c r="AD53" i="1"/>
  <c r="AE53" i="1"/>
  <c r="G53" i="1"/>
  <c r="AF56" i="1"/>
  <c r="AG56" i="1" s="1"/>
  <c r="AF57" i="1"/>
  <c r="AG57" i="1" s="1"/>
  <c r="AF58" i="1"/>
  <c r="AG58" i="1" s="1"/>
  <c r="AF59" i="1"/>
  <c r="AG59" i="1" s="1"/>
  <c r="AF60" i="1"/>
  <c r="AG60" i="1" s="1"/>
  <c r="AF61" i="1"/>
  <c r="AG61" i="1"/>
  <c r="AF62" i="1"/>
  <c r="AG62" i="1" s="1"/>
  <c r="AF63" i="1"/>
  <c r="AG63" i="1"/>
  <c r="AF64" i="1"/>
  <c r="AG64" i="1" s="1"/>
  <c r="AF65" i="1"/>
  <c r="AG65" i="1" s="1"/>
  <c r="AF66" i="1"/>
  <c r="AG66" i="1" s="1"/>
  <c r="AF67" i="1"/>
  <c r="AG67" i="1" s="1"/>
  <c r="AF68" i="1"/>
  <c r="AG68" i="1" s="1"/>
  <c r="AF69" i="1"/>
  <c r="AG69" i="1" s="1"/>
  <c r="AF70" i="1"/>
  <c r="AG70" i="1" s="1"/>
  <c r="AF71" i="1"/>
  <c r="AG71" i="1" s="1"/>
  <c r="AF72" i="1"/>
  <c r="AG72" i="1" s="1"/>
  <c r="AF73" i="1"/>
  <c r="AG73" i="1" s="1"/>
  <c r="AF74" i="1"/>
  <c r="AG74" i="1" s="1"/>
  <c r="AF75" i="1"/>
  <c r="AG75" i="1" s="1"/>
  <c r="AF76" i="1"/>
  <c r="AG76" i="1" s="1"/>
  <c r="AF77" i="1"/>
  <c r="AG77" i="1" s="1"/>
  <c r="AF78" i="1"/>
  <c r="AG78" i="1" s="1"/>
  <c r="AF79" i="1"/>
  <c r="AG79" i="1"/>
  <c r="AF80" i="1"/>
  <c r="AG80" i="1" s="1"/>
  <c r="AF81" i="1"/>
  <c r="AG81" i="1"/>
  <c r="AF82" i="1"/>
  <c r="AG82" i="1" s="1"/>
  <c r="AF83" i="1"/>
  <c r="AG83" i="1" s="1"/>
  <c r="AF84" i="1"/>
  <c r="AG84" i="1" s="1"/>
  <c r="AF85" i="1"/>
  <c r="AG85" i="1" s="1"/>
  <c r="AF86" i="1"/>
  <c r="AG86" i="1" s="1"/>
  <c r="AF87" i="1"/>
  <c r="AG87" i="1" s="1"/>
  <c r="AF88" i="1"/>
  <c r="AG88" i="1" s="1"/>
  <c r="AF89" i="1"/>
  <c r="AG89" i="1" s="1"/>
  <c r="AF90" i="1"/>
  <c r="AG90" i="1" s="1"/>
  <c r="AF91" i="1"/>
  <c r="AG91" i="1" s="1"/>
  <c r="AF92" i="1"/>
  <c r="AG92" i="1" s="1"/>
  <c r="AF93" i="1"/>
  <c r="AG93" i="1" s="1"/>
  <c r="AF55" i="1"/>
  <c r="AG55" i="1" s="1"/>
  <c r="AF54" i="1"/>
  <c r="AG54" i="1" s="1"/>
  <c r="AF52" i="1"/>
  <c r="AG52" i="1" s="1"/>
  <c r="AF14" i="1"/>
  <c r="AG14" i="1" s="1"/>
  <c r="AF15" i="1"/>
  <c r="AG15" i="1" s="1"/>
  <c r="AF16" i="1"/>
  <c r="AG16" i="1" s="1"/>
  <c r="AF17" i="1"/>
  <c r="AG17" i="1" s="1"/>
  <c r="AF18" i="1"/>
  <c r="AG18" i="1" s="1"/>
  <c r="AF19" i="1"/>
  <c r="AG19" i="1"/>
  <c r="AF20" i="1"/>
  <c r="AG20" i="1" s="1"/>
  <c r="AF21" i="1"/>
  <c r="AG21" i="1" s="1"/>
  <c r="AF22" i="1"/>
  <c r="AG22" i="1"/>
  <c r="AF23" i="1"/>
  <c r="AG23" i="1" s="1"/>
  <c r="AF24" i="1"/>
  <c r="AG24" i="1" s="1"/>
  <c r="AF25" i="1"/>
  <c r="AG25" i="1" s="1"/>
  <c r="AF26" i="1"/>
  <c r="AG26" i="1" s="1"/>
  <c r="AF27" i="1"/>
  <c r="AG27" i="1" s="1"/>
  <c r="AF28" i="1"/>
  <c r="AG28" i="1"/>
  <c r="AF29" i="1"/>
  <c r="AG29" i="1" s="1"/>
  <c r="AF30" i="1"/>
  <c r="AG30" i="1" s="1"/>
  <c r="AF31" i="1"/>
  <c r="AG31" i="1"/>
  <c r="AF32" i="1"/>
  <c r="AG32" i="1" s="1"/>
  <c r="AF33" i="1"/>
  <c r="AG33" i="1" s="1"/>
  <c r="AF34" i="1"/>
  <c r="AG34" i="1" s="1"/>
  <c r="AF35" i="1"/>
  <c r="AG35" i="1" s="1"/>
  <c r="AF36" i="1"/>
  <c r="AG36" i="1" s="1"/>
  <c r="AF37" i="1"/>
  <c r="AG37" i="1" s="1"/>
  <c r="AF38" i="1"/>
  <c r="AG38" i="1" s="1"/>
  <c r="AF39" i="1"/>
  <c r="AG39" i="1" s="1"/>
  <c r="AF40" i="1"/>
  <c r="AG40" i="1" s="1"/>
  <c r="AF41" i="1"/>
  <c r="AG41" i="1" s="1"/>
  <c r="AF42" i="1"/>
  <c r="AG42" i="1" s="1"/>
  <c r="AF43" i="1"/>
  <c r="AG43" i="1" s="1"/>
  <c r="AF44" i="1"/>
  <c r="AG44" i="1" s="1"/>
  <c r="AF45" i="1"/>
  <c r="AG45" i="1" s="1"/>
  <c r="AF46" i="1"/>
  <c r="AG46" i="1"/>
  <c r="AF47" i="1"/>
  <c r="AG47" i="1" s="1"/>
  <c r="AF48" i="1"/>
  <c r="AG48" i="1" s="1"/>
  <c r="AF49" i="1"/>
  <c r="AG49" i="1" s="1"/>
  <c r="AF50" i="1"/>
  <c r="AG50" i="1" s="1"/>
  <c r="AF51" i="1"/>
  <c r="AG51" i="1"/>
  <c r="AF13" i="1"/>
  <c r="AG13" i="1" s="1"/>
  <c r="AN13" i="1" a="1"/>
  <c r="AN13" i="1" s="1"/>
  <c r="AN14" i="1" a="1"/>
  <c r="AN14" i="1" s="1"/>
  <c r="AK105" i="1"/>
  <c r="AL105" i="1"/>
  <c r="AN15" i="1" a="1"/>
  <c r="AN15" i="1" s="1"/>
  <c r="AN16" i="1" a="1"/>
  <c r="AN16" i="1"/>
  <c r="AN17" i="1" a="1"/>
  <c r="AN17" i="1" s="1"/>
  <c r="AN18" i="1" a="1"/>
  <c r="AN18" i="1" s="1"/>
  <c r="AN19" i="1" a="1"/>
  <c r="AN19" i="1" s="1"/>
  <c r="AN20" i="1" a="1"/>
  <c r="AN20" i="1" s="1"/>
  <c r="AN21" i="1" a="1"/>
  <c r="AN21" i="1" s="1"/>
  <c r="AN22" i="1" a="1"/>
  <c r="AN22" i="1" s="1"/>
  <c r="AN23" i="1" a="1"/>
  <c r="AN23" i="1" s="1"/>
  <c r="AN24" i="1" a="1"/>
  <c r="AN24" i="1" s="1"/>
  <c r="AN25" i="1" a="1"/>
  <c r="AN25" i="1"/>
  <c r="AN26" i="1" a="1"/>
  <c r="AN26" i="1" s="1"/>
  <c r="AN27" i="1" a="1"/>
  <c r="AN27" i="1" s="1"/>
  <c r="AN28" i="1" a="1"/>
  <c r="AN28" i="1" s="1"/>
  <c r="AN29" i="1" a="1"/>
  <c r="AN29" i="1" s="1"/>
  <c r="AN30" i="1" a="1"/>
  <c r="AN30" i="1" s="1"/>
  <c r="AN31" i="1" a="1"/>
  <c r="AN31" i="1"/>
  <c r="AN32" i="1" a="1"/>
  <c r="AN32" i="1" s="1"/>
  <c r="AN33" i="1" a="1"/>
  <c r="AN33" i="1" s="1"/>
  <c r="AN34" i="1" a="1"/>
  <c r="AN34" i="1" s="1"/>
  <c r="AN35" i="1" a="1"/>
  <c r="AN35" i="1" s="1"/>
  <c r="AN36" i="1" a="1"/>
  <c r="AN36" i="1" s="1"/>
  <c r="AN37" i="1" a="1"/>
  <c r="AN37" i="1"/>
  <c r="AN38" i="1" a="1"/>
  <c r="AN38" i="1" s="1"/>
  <c r="AN39" i="1" a="1"/>
  <c r="AN39" i="1" s="1"/>
  <c r="AN40" i="1" a="1"/>
  <c r="AN40" i="1" s="1"/>
  <c r="AN41" i="1" a="1"/>
  <c r="AN41" i="1" s="1"/>
  <c r="AN42" i="1" a="1"/>
  <c r="AN42" i="1" s="1"/>
  <c r="AN43" i="1" a="1"/>
  <c r="AN43" i="1"/>
  <c r="AN44" i="1" a="1"/>
  <c r="AN44" i="1" s="1"/>
  <c r="AN45" i="1" a="1"/>
  <c r="AN45" i="1" s="1"/>
  <c r="AN46" i="1" a="1"/>
  <c r="AN46" i="1" s="1"/>
  <c r="AN47" i="1" a="1"/>
  <c r="AN47" i="1" s="1"/>
  <c r="AN48" i="1" a="1"/>
  <c r="AN48" i="1" s="1"/>
  <c r="AN49" i="1" a="1"/>
  <c r="AN49" i="1"/>
  <c r="AN50" i="1" a="1"/>
  <c r="AN50" i="1" s="1"/>
  <c r="AN51" i="1" a="1"/>
  <c r="AN51" i="1" s="1"/>
  <c r="AN52" i="1" a="1"/>
  <c r="AN52" i="1" s="1"/>
  <c r="AN54" i="1" a="1"/>
  <c r="AN54" i="1" s="1"/>
  <c r="AN56" i="1" a="1"/>
  <c r="AN56" i="1" s="1"/>
  <c r="AN57" i="1" a="1"/>
  <c r="AN57" i="1" s="1"/>
  <c r="AN58" i="1" a="1"/>
  <c r="AN58" i="1" s="1"/>
  <c r="AN59" i="1" a="1"/>
  <c r="AN59" i="1" s="1"/>
  <c r="AN60" i="1" a="1"/>
  <c r="AN60" i="1" s="1"/>
  <c r="AN61" i="1" a="1"/>
  <c r="AN61" i="1"/>
  <c r="AN62" i="1" a="1"/>
  <c r="AN62" i="1" s="1"/>
  <c r="AN63" i="1" a="1"/>
  <c r="AN63" i="1" s="1"/>
  <c r="AN64" i="1" a="1"/>
  <c r="AN64" i="1" s="1"/>
  <c r="AN65" i="1" a="1"/>
  <c r="AN65" i="1" s="1"/>
  <c r="AN66" i="1" a="1"/>
  <c r="AN66" i="1" s="1"/>
  <c r="AN67" i="1" a="1"/>
  <c r="AN67" i="1"/>
  <c r="AN68" i="1" a="1"/>
  <c r="AN68" i="1" s="1"/>
  <c r="AN69" i="1" a="1"/>
  <c r="AN69" i="1" s="1"/>
  <c r="AN70" i="1" a="1"/>
  <c r="AN70" i="1" s="1"/>
  <c r="AN71" i="1" a="1"/>
  <c r="AN71" i="1" s="1"/>
  <c r="AN72" i="1" a="1"/>
  <c r="AN72" i="1" s="1"/>
  <c r="AN73" i="1" a="1"/>
  <c r="AN73" i="1"/>
  <c r="AN74" i="1" a="1"/>
  <c r="AN74" i="1" s="1"/>
  <c r="AN75" i="1" a="1"/>
  <c r="AN75" i="1" s="1"/>
  <c r="AN76" i="1" a="1"/>
  <c r="AN76" i="1" s="1"/>
  <c r="AN77" i="1" a="1"/>
  <c r="AN77" i="1" s="1"/>
  <c r="AN78" i="1" a="1"/>
  <c r="AN78" i="1" s="1"/>
  <c r="AN79" i="1" a="1"/>
  <c r="AN79" i="1"/>
  <c r="AN80" i="1" a="1"/>
  <c r="AN80" i="1" s="1"/>
  <c r="AN81" i="1" a="1"/>
  <c r="AN81" i="1" s="1"/>
  <c r="AN82" i="1" a="1"/>
  <c r="AN82" i="1" s="1"/>
  <c r="AN83" i="1" a="1"/>
  <c r="AN83" i="1" s="1"/>
  <c r="AN84" i="1" a="1"/>
  <c r="AN84" i="1" s="1"/>
  <c r="AN85" i="1" a="1"/>
  <c r="AN85" i="1" s="1"/>
  <c r="AN86" i="1" a="1"/>
  <c r="AN86" i="1" s="1"/>
  <c r="AN87" i="1" a="1"/>
  <c r="AN87" i="1" s="1"/>
  <c r="AN88" i="1" a="1"/>
  <c r="AN88" i="1" s="1"/>
  <c r="AN89" i="1" a="1"/>
  <c r="AN89" i="1" s="1"/>
  <c r="AN90" i="1" a="1"/>
  <c r="AN90" i="1" s="1"/>
  <c r="AN91" i="1" a="1"/>
  <c r="AN91" i="1" s="1"/>
  <c r="AN92" i="1" a="1"/>
  <c r="AN92" i="1" s="1"/>
  <c r="AN93" i="1" a="1"/>
  <c r="AN93" i="1" s="1"/>
  <c r="AM105" i="1" l="1"/>
  <c r="AK110" i="1"/>
  <c r="AL116" i="1" l="1"/>
  <c r="AL114" i="1"/>
  <c r="AK116" i="1"/>
  <c r="AL112" i="1"/>
  <c r="AK114" i="1"/>
  <c r="AK112" i="1"/>
  <c r="L95" i="1"/>
  <c r="N95" i="1"/>
  <c r="O95" i="1"/>
  <c r="P95" i="1"/>
  <c r="R95" i="1"/>
  <c r="S95" i="1"/>
  <c r="V95" i="1"/>
  <c r="W95" i="1"/>
  <c r="X95" i="1"/>
  <c r="Y95" i="1"/>
  <c r="Z95" i="1"/>
  <c r="AA95" i="1"/>
  <c r="AB95" i="1"/>
  <c r="AC95" i="1"/>
  <c r="AD95" i="1"/>
  <c r="AE95" i="1"/>
  <c r="T95" i="1"/>
  <c r="U95" i="1" l="1"/>
  <c r="AN53" i="1" a="1"/>
  <c r="AN53" i="1" s="1"/>
  <c r="AN55" i="1" a="1"/>
  <c r="AN55" i="1" s="1"/>
  <c r="AL110" i="1" s="1"/>
  <c r="AM110" i="1" s="1"/>
  <c r="AM112" i="1"/>
  <c r="AM114" i="1"/>
  <c r="AM116" i="1"/>
  <c r="M95" i="1"/>
  <c r="K95" i="1"/>
  <c r="J95" i="1"/>
  <c r="I95" i="1"/>
  <c r="H95" i="1"/>
  <c r="G95" i="1"/>
  <c r="Q95" i="1"/>
  <c r="AG94" i="1"/>
  <c r="AF94" i="1"/>
  <c r="AF53" i="1"/>
  <c r="AG53" i="1"/>
  <c r="AG95" i="1" l="1"/>
  <c r="AF95" i="1"/>
  <c r="AJ97" i="1"/>
  <c r="AL107" i="1" s="1"/>
  <c r="AL108" i="1" s="1"/>
  <c r="AF97" i="1"/>
  <c r="A93" i="1"/>
  <c r="A56" i="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55" i="1"/>
  <c r="A52" i="1"/>
  <c r="A14" i="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M107" i="1" l="1"/>
  <c r="AM108" i="1" s="1"/>
  <c r="AK107" i="1"/>
  <c r="AK108"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<sst xmlns="http://schemas.openxmlformats.org/spreadsheetml/2006/main" count="115" uniqueCount="91">
  <si>
    <t>School Form 2 (SF2) Daily Attendance Report of Learners</t>
  </si>
  <si>
    <t>(This replaces Form 1, Form 2 &amp; STS Form 4 - Absenteeism and Dropout Profile)</t>
  </si>
  <si>
    <t>School ID</t>
  </si>
  <si>
    <t>School Year</t>
  </si>
  <si>
    <t>Report for the  Month of</t>
  </si>
  <si>
    <t>Name of School</t>
  </si>
  <si>
    <t>Grade Level</t>
  </si>
  <si>
    <t>Section</t>
  </si>
  <si>
    <t xml:space="preserve">Total for the Month             </t>
  </si>
  <si>
    <t>REMARKS (If NLS, state reason, please refer to legend number 2. If TRANSFERRED IN/OUT, write the name of School.)</t>
  </si>
  <si>
    <t>M</t>
  </si>
  <si>
    <t>T</t>
  </si>
  <si>
    <t>W</t>
  </si>
  <si>
    <t>TH</t>
  </si>
  <si>
    <t>F</t>
  </si>
  <si>
    <t>ABSENT</t>
  </si>
  <si>
    <t>PRESENT</t>
  </si>
  <si>
    <t>GUIDELINES:</t>
  </si>
  <si>
    <t>1. CODES FOR CHECKING ATTENDANCE</t>
  </si>
  <si>
    <t>Month:</t>
  </si>
  <si>
    <t>No. of Days of Classes:</t>
  </si>
  <si>
    <t>Summary for the Month</t>
  </si>
  <si>
    <t>1. The attendance shall be accomplished daily. Refer to the codes for checking learners' attendance.</t>
  </si>
  <si>
    <r>
      <rPr>
        <b/>
        <sz val="11"/>
        <color theme="1"/>
        <rFont val="Arial Narrow"/>
        <family val="2"/>
      </rPr>
      <t xml:space="preserve">blank- </t>
    </r>
    <r>
      <rPr>
        <sz val="11"/>
        <color theme="1"/>
        <rFont val="Arial Narrow"/>
        <family val="2"/>
      </rPr>
      <t>Present;   (x)- Absent; Tardy (half shaded= Upper for Late Commer, Lower for Cutting Classes)</t>
    </r>
  </si>
  <si>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</si>
  <si>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</si>
  <si>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</si>
  <si>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</si>
  <si>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</si>
  <si>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</si>
  <si>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</si>
  <si>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</si>
  <si>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t xml:space="preserve">Late Enrollment </t>
    </r>
    <r>
      <rPr>
        <b/>
        <i/>
        <sz val="12"/>
        <color theme="1"/>
        <rFont val="Arial Narrow"/>
        <family val="2"/>
      </rPr>
      <t xml:space="preserve">during the month </t>
    </r>
    <r>
      <rPr>
        <i/>
        <sz val="12"/>
        <color theme="1"/>
        <rFont val="Arial Narrow"/>
        <family val="2"/>
      </rPr>
      <t xml:space="preserve">                                              (beyond cut-off)</t>
    </r>
  </si>
  <si>
    <t>Enrolment as of 1st Friday of the SY</t>
  </si>
  <si>
    <t>a. Domestic-Related Factors</t>
  </si>
  <si>
    <t>b.</t>
  </si>
  <si>
    <t xml:space="preserve">Average Daily Attendance = </t>
  </si>
  <si>
    <t>Total Daily Attendance</t>
  </si>
  <si>
    <t>a.1. Had to take care of siblings</t>
  </si>
  <si>
    <r>
      <t xml:space="preserve">Registered Learner as of </t>
    </r>
    <r>
      <rPr>
        <b/>
        <i/>
        <sz val="12"/>
        <color theme="1"/>
        <rFont val="Arial Narrow"/>
        <family val="2"/>
      </rPr>
      <t>end of the month</t>
    </r>
  </si>
  <si>
    <t>Number of School Days in reporting month</t>
  </si>
  <si>
    <t>a.2. Early marriage/pregnancy</t>
  </si>
  <si>
    <t>c.</t>
  </si>
  <si>
    <t>Percentage of Attendance for the month =</t>
  </si>
  <si>
    <t>Average daily attendance</t>
  </si>
  <si>
    <t>a.3. Parents' attitude toward schooling</t>
  </si>
  <si>
    <r>
      <t>Percentage of Enrolment as of</t>
    </r>
    <r>
      <rPr>
        <b/>
        <i/>
        <sz val="12"/>
        <color theme="1"/>
        <rFont val="Arial Narrow"/>
        <family val="2"/>
      </rPr>
      <t xml:space="preserve"> end of the month</t>
    </r>
  </si>
  <si>
    <t>Registered Learner as of End of the month</t>
  </si>
  <si>
    <t>a.4. Family problems</t>
  </si>
  <si>
    <t>b. Individual-Related Factors</t>
  </si>
  <si>
    <t>Average Daily Attendance</t>
  </si>
  <si>
    <t>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</si>
  <si>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</si>
  <si>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</si>
  <si>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</si>
  <si>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</si>
  <si>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</si>
  <si>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</si>
  <si>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</si>
  <si>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</si>
  <si>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</si>
  <si>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</si>
  <si>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</si>
  <si>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</si>
  <si>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</si>
  <si>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</si>
  <si>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</si>
  <si>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</si>
  <si>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</si>
  <si>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</si>
  <si>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</si>
  <si>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</si>
  <si>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</si>
  <si>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</si>
  <si>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</si>
  <si>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</si>
  <si>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</si>
  <si>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</si>
  <si>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</si>
  <si>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</si>
  <si>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</si>
  <si>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</si>
  <si>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 xml:space="preserve">LEARNER'S NAME                                                                                                              </t>
  </si>
  <si>
    <t>Date/Day</t>
  </si>
  <si>
    <t xml:space="preserve"> TOTAL</t>
  </si>
  <si>
    <t>Sub-Total (Female)</t>
  </si>
  <si>
    <t>Sub-Total (Male)</t>
  </si>
  <si>
    <t>No longer in School</t>
  </si>
  <si>
    <t>2025 - 2026</t>
  </si>
  <si>
    <t>Grade 6</t>
  </si>
  <si>
    <t>Sitio Tapayan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</si>
</sst>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0" x14ac:knownFonts="1">
    <font>
      <sz val="11"/>
      <color theme="1"/>
      <name val="Aptos Narrow"/>
      <family val="2"/>
      <scheme val="minor"/>
    </font>
    <font>
      <sz val="11"/>
      <color theme="1"/>
      <name val="Aptos Narrow"/>
      <family val="2"/>
      <scheme val="minor"/>
    </font>
    <font>
      <i/>
      <sz val="11"/>
      <color theme="1"/>
      <name val="Arial Narrow"/>
      <family val="2"/>
    </font>
    <font>
      <b/>
      <sz val="11"/>
      <color theme="1"/>
      <name val="Arial Narrow"/>
      <family val="2"/>
    </font>
    <font>
      <b/>
      <sz val="14"/>
      <color theme="1"/>
      <name val="Arial Narrow"/>
      <family val="2"/>
    </font>
    <font>
      <sz val="11"/>
      <color theme="1"/>
      <name val="Arial Narrow"/>
      <family val="2"/>
    </font>
    <font>
      <b/>
      <sz val="22"/>
      <color theme="1"/>
      <name val="Arial Narrow"/>
      <family val="2"/>
    </font>
    <font>
      <i/>
      <sz val="12"/>
      <color theme="1"/>
      <name val="Arial Narrow"/>
      <family val="2"/>
    </font>
    <font>
      <b/>
      <sz val="18"/>
      <color theme="1"/>
      <name val="Arial Narrow"/>
      <family val="2"/>
    </font>
    <font>
      <sz val="16"/>
      <color theme="1"/>
      <name val="Arial Narrow"/>
      <family val="2"/>
    </font>
    <font>
      <b/>
      <sz val="16"/>
      <color theme="1"/>
      <name val="Arial Narrow"/>
      <family val="2"/>
    </font>
    <font>
      <b/>
      <sz val="12"/>
      <color theme="1"/>
      <name val="Arial Narrow"/>
      <family val="2"/>
    </font>
    <font>
      <sz val="12"/>
      <color theme="1"/>
      <name val="Arial Narrow"/>
      <family val="2"/>
    </font>
    <font>
      <sz val="11"/>
      <color rgb="FF000000"/>
      <name val="Arial Narrow"/>
      <family val="2"/>
    </font>
    <font>
      <b/>
      <i/>
      <sz val="11"/>
      <color theme="1"/>
      <name val="Arial Narrow"/>
      <family val="2"/>
    </font>
    <font>
      <b/>
      <sz val="9"/>
      <color theme="1"/>
      <name val="Arial Narrow"/>
      <family val="2"/>
    </font>
    <font>
      <b/>
      <i/>
      <sz val="12"/>
      <color theme="1"/>
      <name val="Arial Narrow"/>
      <family val="2"/>
    </font>
    <font>
      <sz val="14"/>
      <name val="Arial Narrow"/>
      <family val="2"/>
    </font>
    <font>
      <b/>
      <sz val="15"/>
      <color theme="1"/>
      <name val="Arial Narrow"/>
      <family val="2"/>
    </font>
    <font>
      <b/>
      <sz val="10"/>
      <color theme="1"/>
      <name val="Arial Narrow"/>
      <family val="2"/>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top/>
      <bottom style="medium">
        <color auto="1"/>
      </bottom>
      <diagonal/>
    </border>
    <border>
      <left/>
      <right style="medium">
        <color auto="1"/>
      </right>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right/>
      <top style="medium">
        <color auto="1"/>
      </top>
      <bottom style="thin">
        <color auto="1"/>
      </bottom>
      <diagonal/>
    </border>
    <border>
      <left style="medium">
        <color auto="1"/>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auto="1"/>
      </left>
      <right style="medium">
        <color auto="1"/>
      </right>
      <top/>
      <bottom style="thin">
        <color auto="1"/>
      </bottom>
      <diagonal/>
    </border>
    <border>
      <left/>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indexed="64"/>
      </left>
      <right/>
      <top style="thin">
        <color indexed="64"/>
      </top>
      <bottom style="medium">
        <color auto="1"/>
      </bottom>
      <diagonal/>
    </border>
    <border>
      <left/>
      <right style="thin">
        <color indexed="64"/>
      </right>
      <top style="medium">
        <color indexed="64"/>
      </top>
      <bottom style="medium">
        <color indexed="64"/>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thin">
        <color indexed="64"/>
      </right>
      <top style="medium">
        <color auto="1"/>
      </top>
      <bottom/>
      <diagonal/>
    </border>
    <border>
      <left style="medium">
        <color auto="1"/>
      </left>
      <right/>
      <top/>
      <bottom style="thin">
        <color auto="1"/>
      </bottom>
      <diagonal/>
    </border>
    <border>
      <left style="medium">
        <color auto="1"/>
      </left>
      <right style="thin">
        <color auto="1"/>
      </right>
      <top style="thin">
        <color auto="1"/>
      </top>
      <bottom style="medium">
        <color auto="1"/>
      </bottom>
      <diagonal/>
    </border>
    <border>
      <left style="thick">
        <color auto="1"/>
      </left>
      <right/>
      <top style="medium">
        <color auto="1"/>
      </top>
      <bottom style="medium">
        <color auto="1"/>
      </bottom>
      <diagonal/>
    </border>
    <border>
      <left style="thick">
        <color auto="1"/>
      </left>
      <right/>
      <top style="medium">
        <color auto="1"/>
      </top>
      <bottom/>
      <diagonal/>
    </border>
    <border>
      <left style="thick">
        <color auto="1"/>
      </left>
      <right/>
      <top/>
      <bottom/>
      <diagonal/>
    </border>
    <border>
      <left style="thick">
        <color auto="1"/>
      </left>
      <right/>
      <top/>
      <bottom style="medium">
        <color auto="1"/>
      </bottom>
      <diagonal/>
    </border>
    <border>
      <left style="thick">
        <color auto="1"/>
      </left>
      <right/>
      <top style="medium">
        <color auto="1"/>
      </top>
      <bottom style="thin">
        <color auto="1"/>
      </bottom>
      <diagonal/>
    </border>
    <border>
      <left style="thick">
        <color auto="1"/>
      </left>
      <right/>
      <top style="thin">
        <color auto="1"/>
      </top>
      <bottom style="thin">
        <color auto="1"/>
      </bottom>
      <diagonal/>
    </border>
    <border>
      <left style="thick">
        <color auto="1"/>
      </left>
      <right/>
      <top style="thin">
        <color auto="1"/>
      </top>
      <bottom style="medium">
        <color auto="1"/>
      </bottom>
      <diagonal/>
    </border>
    <border>
      <left style="medium">
        <color auto="1"/>
      </left>
      <right style="thin">
        <color auto="1"/>
      </right>
      <top style="thin">
        <color auto="1"/>
      </top>
      <bottom/>
      <diagonal/>
    </border>
    <border>
      <left style="medium">
        <color auto="1"/>
      </left>
      <right/>
      <top style="thin">
        <color auto="1"/>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auto="1"/>
      </right>
      <top/>
      <bottom style="thin">
        <color auto="1"/>
      </bottom>
      <diagonal/>
    </border>
  </borders>
  <cellStyleXfs count="3">
    <xf numFmtId="0" fontId="0" fillId="0" borderId="0"/>
    <xf numFmtId="9" fontId="1" fillId="0" borderId="0" applyFont="0" applyFill="0" applyBorder="0" applyAlignment="0" applyProtection="0"/>
    <xf numFmtId="0" fontId="1" fillId="0" borderId="0"/>
  </cellStyleXfs>
  <cellXfs count="251">
    <xf numFmtId="0" fontId="0" fillId="0" borderId="0" xfId="0"/>
    <xf numFmtId="0" fontId="11" fillId="0" borderId="13" xfId="0" applyFont="1" applyBorder="1" applyAlignment="1" applyProtection="1">
      <alignment horizontal="center" vertical="center"/>
      <protection locked="0"/>
    </xf>
    <xf numFmtId="0" fontId="11" fillId="0" borderId="14" xfId="0" applyFont="1" applyBorder="1" applyAlignment="1" applyProtection="1">
      <alignment horizontal="center" vertical="center"/>
      <protection locked="0"/>
    </xf>
    <xf numFmtId="0" fontId="11" fillId="0" borderId="15" xfId="0" applyFont="1" applyBorder="1" applyAlignment="1" applyProtection="1">
      <alignment horizontal="center" vertical="center"/>
      <protection locked="0"/>
    </xf>
    <xf numFmtId="0" fontId="5" fillId="0" borderId="24" xfId="2" applyFont="1" applyBorder="1" applyAlignment="1" applyProtection="1">
      <alignment horizontal="center" vertical="center"/>
      <protection locked="0"/>
    </xf>
    <xf numFmtId="0" fontId="5" fillId="0" borderId="25" xfId="2" applyFont="1" applyBorder="1" applyAlignment="1" applyProtection="1">
      <alignment horizontal="center" vertical="center"/>
      <protection locked="0"/>
    </xf>
    <xf numFmtId="0" fontId="5" fillId="0" borderId="26" xfId="2" applyFont="1" applyBorder="1" applyAlignment="1" applyProtection="1">
      <alignment horizontal="center" vertical="center"/>
      <protection locked="0"/>
    </xf>
    <xf numFmtId="0" fontId="13" fillId="0" borderId="2" xfId="2" applyFont="1" applyBorder="1" applyAlignment="1" applyProtection="1">
      <alignment horizontal="center" vertical="center" wrapText="1"/>
      <protection locked="0"/>
    </xf>
    <xf numFmtId="0" fontId="5" fillId="0" borderId="34"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35" xfId="0" applyFont="1" applyBorder="1" applyAlignment="1" applyProtection="1">
      <alignment horizontal="center" vertical="center"/>
      <protection locked="0"/>
    </xf>
    <xf numFmtId="0" fontId="5" fillId="0" borderId="36" xfId="0" applyFont="1" applyBorder="1" applyAlignment="1" applyProtection="1">
      <alignment horizontal="center" vertical="center"/>
      <protection locked="0"/>
    </xf>
    <xf numFmtId="0" fontId="5" fillId="0" borderId="29" xfId="2" applyFont="1" applyBorder="1" applyAlignment="1" applyProtection="1">
      <alignment horizontal="center" vertical="center"/>
      <protection locked="0"/>
    </xf>
    <xf numFmtId="0" fontId="5" fillId="0" borderId="2" xfId="2" applyFont="1" applyBorder="1" applyAlignment="1" applyProtection="1">
      <alignment horizontal="center" vertical="center"/>
      <protection locked="0"/>
    </xf>
    <xf numFmtId="0" fontId="5" fillId="0" borderId="32" xfId="2" applyFont="1" applyBorder="1" applyAlignment="1" applyProtection="1">
      <alignment horizontal="center" vertical="center"/>
      <protection locked="0"/>
    </xf>
    <xf numFmtId="0" fontId="5" fillId="0" borderId="1" xfId="2" applyFont="1" applyBorder="1" applyAlignment="1" applyProtection="1">
      <alignment horizontal="center" vertical="center"/>
      <protection locked="0"/>
    </xf>
    <xf numFmtId="0" fontId="5" fillId="0" borderId="29" xfId="2" applyFont="1" applyBorder="1" applyAlignment="1" applyProtection="1">
      <alignment horizontal="left" vertical="center"/>
      <protection locked="0"/>
    </xf>
    <xf numFmtId="0" fontId="13" fillId="0" borderId="2" xfId="2" applyFont="1" applyBorder="1" applyAlignment="1" applyProtection="1">
      <alignment horizontal="left" vertical="center" wrapText="1"/>
      <protection locked="0"/>
    </xf>
    <xf numFmtId="0" fontId="5" fillId="0" borderId="39" xfId="0" applyFont="1" applyBorder="1" applyAlignment="1" applyProtection="1">
      <alignment horizontal="left" vertical="center"/>
      <protection locked="0"/>
    </xf>
    <xf numFmtId="0" fontId="5" fillId="0" borderId="24" xfId="2" applyFont="1" applyBorder="1" applyAlignment="1" applyProtection="1">
      <alignment horizontal="left" vertical="center"/>
      <protection locked="0"/>
    </xf>
    <xf numFmtId="0" fontId="5" fillId="0" borderId="2" xfId="2" applyFont="1" applyBorder="1" applyAlignment="1" applyProtection="1">
      <alignment horizontal="left" vertical="center"/>
      <protection locked="0"/>
    </xf>
    <xf numFmtId="0" fontId="5" fillId="0" borderId="27" xfId="2" applyFont="1" applyBorder="1" applyAlignment="1" applyProtection="1">
      <alignment horizontal="center" vertical="center"/>
      <protection locked="0"/>
    </xf>
    <xf numFmtId="0" fontId="5" fillId="0" borderId="33" xfId="2" applyFont="1" applyBorder="1" applyAlignment="1" applyProtection="1">
      <alignment horizontal="center" vertical="center"/>
      <protection locked="0"/>
    </xf>
    <xf numFmtId="0" fontId="5" fillId="0" borderId="52" xfId="2" applyFont="1" applyBorder="1" applyAlignment="1" applyProtection="1">
      <alignment horizontal="center" vertical="center"/>
      <protection locked="0"/>
    </xf>
    <xf numFmtId="0" fontId="5" fillId="0" borderId="48" xfId="2" applyFont="1" applyBorder="1" applyAlignment="1" applyProtection="1">
      <alignment horizontal="center" vertical="center"/>
      <protection locked="0"/>
    </xf>
    <xf numFmtId="0" fontId="5" fillId="0" borderId="49" xfId="2" applyFont="1" applyBorder="1" applyAlignment="1" applyProtection="1">
      <alignment horizontal="center" vertical="center"/>
      <protection locked="0"/>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vertical="center"/>
    </xf>
    <xf numFmtId="0" fontId="8" fillId="0" borderId="0" xfId="0" applyFont="1" applyAlignment="1">
      <alignment horizontal="center" vertical="center"/>
    </xf>
    <xf numFmtId="0" fontId="18" fillId="0" borderId="0" xfId="0" applyFont="1" applyAlignment="1">
      <alignment horizontal="right" vertical="center"/>
    </xf>
    <xf numFmtId="0" fontId="9" fillId="0" borderId="0" xfId="0" applyFont="1" applyAlignment="1">
      <alignment horizontal="right" vertical="center"/>
    </xf>
    <xf numFmtId="0" fontId="9" fillId="0" borderId="0" xfId="0" applyFont="1" applyAlignment="1">
      <alignment horizontal="center" vertical="center"/>
    </xf>
    <xf numFmtId="17" fontId="9" fillId="0" borderId="0" xfId="0" applyNumberFormat="1" applyFont="1" applyAlignment="1">
      <alignment horizontal="center" vertical="center"/>
    </xf>
    <xf numFmtId="0" fontId="10" fillId="0" borderId="0" xfId="0" applyFont="1" applyAlignment="1">
      <alignment vertical="center"/>
    </xf>
    <xf numFmtId="0" fontId="9" fillId="0" borderId="0" xfId="0" applyFont="1" applyAlignment="1">
      <alignment vertical="center"/>
    </xf>
    <xf numFmtId="0" fontId="10" fillId="0" borderId="6" xfId="0" applyFont="1" applyBorder="1" applyAlignment="1">
      <alignment horizontal="center" vertical="center" wrapText="1"/>
    </xf>
    <xf numFmtId="0" fontId="10" fillId="0" borderId="0" xfId="0" applyFont="1" applyAlignment="1">
      <alignment horizontal="center" vertical="center" wrapText="1"/>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64" fontId="11" fillId="0" borderId="44" xfId="0" applyNumberFormat="1" applyFont="1" applyBorder="1" applyAlignment="1">
      <alignment horizontal="center" vertical="center"/>
    </xf>
    <xf numFmtId="0" fontId="5" fillId="0" borderId="57" xfId="0" applyFont="1" applyBorder="1" applyAlignment="1">
      <alignment horizontal="center" vertical="center"/>
    </xf>
    <xf numFmtId="0" fontId="5" fillId="0" borderId="58" xfId="0" applyFont="1" applyBorder="1" applyAlignment="1">
      <alignment horizontal="center" vertical="center"/>
    </xf>
    <xf numFmtId="0" fontId="5" fillId="0" borderId="59" xfId="0" applyFont="1" applyBorder="1" applyAlignment="1">
      <alignment horizontal="center" vertical="center"/>
    </xf>
    <xf numFmtId="0" fontId="14" fillId="0" borderId="0" xfId="0" applyFont="1" applyAlignment="1">
      <alignment horizontal="left" vertical="center"/>
    </xf>
    <xf numFmtId="0" fontId="11" fillId="0" borderId="0" xfId="0" applyFont="1" applyAlignment="1">
      <alignment vertical="center"/>
    </xf>
    <xf numFmtId="0" fontId="7" fillId="0" borderId="0" xfId="0" applyFont="1" applyAlignment="1">
      <alignment vertical="center"/>
    </xf>
    <xf numFmtId="0" fontId="12" fillId="0" borderId="0" xfId="0" applyFont="1" applyAlignment="1">
      <alignment vertical="center"/>
    </xf>
    <xf numFmtId="0" fontId="3" fillId="0" borderId="0" xfId="0" applyFont="1" applyAlignment="1">
      <alignment vertical="center" wrapText="1"/>
    </xf>
    <xf numFmtId="0" fontId="3" fillId="0" borderId="7" xfId="0" applyFont="1" applyBorder="1" applyAlignment="1">
      <alignment vertical="center"/>
    </xf>
    <xf numFmtId="0" fontId="5" fillId="0" borderId="8" xfId="0" applyFont="1" applyBorder="1"/>
    <xf numFmtId="0" fontId="5" fillId="0" borderId="8" xfId="0" applyFont="1" applyBorder="1" applyAlignment="1">
      <alignment vertical="center"/>
    </xf>
    <xf numFmtId="0" fontId="3" fillId="0" borderId="8" xfId="0" applyFont="1" applyBorder="1" applyAlignment="1">
      <alignment vertical="center"/>
    </xf>
    <xf numFmtId="0" fontId="3" fillId="0" borderId="9" xfId="0" applyFont="1" applyBorder="1" applyAlignment="1">
      <alignment vertical="center" wrapText="1"/>
    </xf>
    <xf numFmtId="0" fontId="19" fillId="0" borderId="5" xfId="0" applyFont="1" applyBorder="1" applyAlignment="1">
      <alignment vertical="center"/>
    </xf>
    <xf numFmtId="0" fontId="3" fillId="0" borderId="17" xfId="0" applyFont="1" applyBorder="1" applyAlignment="1">
      <alignment vertical="center" wrapText="1"/>
    </xf>
    <xf numFmtId="0" fontId="3" fillId="0" borderId="21" xfId="0" applyFont="1" applyBorder="1" applyAlignment="1">
      <alignment vertical="center"/>
    </xf>
    <xf numFmtId="0" fontId="3" fillId="0" borderId="47" xfId="0" applyFont="1" applyBorder="1" applyAlignment="1">
      <alignment horizontal="center" vertical="center"/>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5" fillId="0" borderId="0" xfId="0" applyFont="1" applyAlignment="1">
      <alignment horizontal="left" vertical="center" wrapText="1"/>
    </xf>
    <xf numFmtId="0" fontId="12" fillId="0" borderId="0" xfId="0" applyFont="1" applyAlignment="1">
      <alignment horizontal="right" vertical="center"/>
    </xf>
    <xf numFmtId="0" fontId="7" fillId="0" borderId="0" xfId="0" applyFont="1" applyAlignment="1">
      <alignment horizontal="right" vertical="center"/>
    </xf>
    <xf numFmtId="0" fontId="12" fillId="0" borderId="0" xfId="0" applyFont="1" applyAlignment="1">
      <alignment horizontal="center" vertical="center"/>
    </xf>
    <xf numFmtId="0" fontId="3" fillId="0" borderId="11" xfId="0" applyFont="1" applyBorder="1" applyAlignment="1">
      <alignment vertical="center"/>
    </xf>
    <xf numFmtId="0" fontId="5" fillId="0" borderId="0" xfId="0" applyFont="1" applyAlignment="1">
      <alignment horizontal="left" vertical="center"/>
    </xf>
    <xf numFmtId="0" fontId="7" fillId="0" borderId="0" xfId="0" applyFont="1" applyAlignment="1">
      <alignment horizontal="right" vertical="center" wrapText="1"/>
    </xf>
    <xf numFmtId="0" fontId="12" fillId="0" borderId="0" xfId="0" applyFont="1" applyAlignment="1">
      <alignment vertical="center" wrapText="1"/>
    </xf>
    <xf numFmtId="0" fontId="5" fillId="0" borderId="11" xfId="0" applyFont="1" applyBorder="1" applyAlignment="1">
      <alignment horizontal="left" vertical="center"/>
    </xf>
    <xf numFmtId="0" fontId="12" fillId="0" borderId="0" xfId="0" applyFont="1" applyAlignment="1">
      <alignment horizontal="left" vertical="top" wrapText="1"/>
    </xf>
    <xf numFmtId="0" fontId="5" fillId="0" borderId="0" xfId="0" applyFont="1" applyAlignment="1">
      <alignment vertical="center" wrapText="1"/>
    </xf>
    <xf numFmtId="0" fontId="12" fillId="0" borderId="0" xfId="0" applyFont="1" applyAlignment="1">
      <alignment vertical="top" wrapText="1"/>
    </xf>
    <xf numFmtId="0" fontId="2" fillId="0" borderId="0" xfId="0" applyFont="1" applyAlignment="1">
      <alignment horizontal="center" vertical="center"/>
    </xf>
    <xf numFmtId="0" fontId="2" fillId="0" borderId="0" xfId="0" applyFont="1" applyAlignment="1">
      <alignment vertical="center"/>
    </xf>
    <xf numFmtId="0" fontId="14" fillId="0" borderId="0" xfId="0" applyFont="1" applyAlignment="1">
      <alignment horizontal="center" vertical="center"/>
    </xf>
    <xf numFmtId="0" fontId="5" fillId="0" borderId="0" xfId="0" applyFont="1" applyAlignment="1">
      <alignment horizontal="left" vertical="center" indent="3"/>
    </xf>
    <xf numFmtId="0" fontId="5" fillId="0" borderId="17" xfId="0" applyFont="1" applyBorder="1" applyAlignment="1">
      <alignment vertical="center"/>
    </xf>
    <xf numFmtId="0" fontId="17" fillId="0" borderId="0" xfId="0" applyFont="1" applyAlignment="1">
      <alignment horizontal="center"/>
    </xf>
    <xf numFmtId="0" fontId="5" fillId="0" borderId="16" xfId="0" applyFont="1" applyBorder="1" applyAlignment="1">
      <alignment vertical="center"/>
    </xf>
    <xf numFmtId="0" fontId="5" fillId="0" borderId="22" xfId="0" applyFont="1" applyBorder="1" applyAlignment="1">
      <alignment vertical="center"/>
    </xf>
    <xf numFmtId="0" fontId="5" fillId="0" borderId="60" xfId="2" applyFont="1" applyBorder="1" applyAlignment="1" applyProtection="1">
      <alignment horizontal="center" vertical="center"/>
      <protection locked="0"/>
    </xf>
    <xf numFmtId="0" fontId="5" fillId="0" borderId="37" xfId="2" applyFont="1" applyBorder="1" applyAlignment="1" applyProtection="1">
      <alignment horizontal="center" vertical="center"/>
      <protection locked="0"/>
    </xf>
    <xf numFmtId="0" fontId="5" fillId="0" borderId="38" xfId="2" applyFont="1" applyBorder="1" applyAlignment="1" applyProtection="1">
      <alignment horizontal="center" vertical="center"/>
      <protection locked="0"/>
    </xf>
    <xf numFmtId="0" fontId="11" fillId="2" borderId="53" xfId="0" applyFont="1" applyFill="1" applyBorder="1" applyAlignment="1">
      <alignment vertical="center"/>
    </xf>
    <xf numFmtId="0" fontId="5" fillId="0" borderId="62" xfId="2" applyFont="1" applyBorder="1" applyAlignment="1" applyProtection="1">
      <alignment horizontal="center" vertical="center"/>
      <protection locked="0"/>
    </xf>
    <xf numFmtId="0" fontId="5" fillId="0" borderId="63" xfId="2" applyFont="1" applyBorder="1" applyAlignment="1" applyProtection="1">
      <alignment horizontal="center" vertical="center"/>
      <protection locked="0"/>
    </xf>
    <xf numFmtId="0" fontId="5" fillId="0" borderId="64" xfId="2" applyFont="1" applyBorder="1" applyAlignment="1" applyProtection="1">
      <alignment horizontal="center" vertical="center"/>
      <protection locked="0"/>
    </xf>
    <xf numFmtId="0" fontId="11" fillId="0" borderId="25" xfId="0" applyFont="1" applyBorder="1" applyAlignment="1">
      <alignment horizontal="center" vertical="center"/>
    </xf>
    <xf numFmtId="0" fontId="11" fillId="0" borderId="26" xfId="0" applyFont="1" applyBorder="1" applyAlignment="1" applyProtection="1">
      <alignment horizontal="center" vertical="center"/>
      <protection locked="0"/>
    </xf>
    <xf numFmtId="0" fontId="11" fillId="0" borderId="27" xfId="0" applyFont="1" applyBorder="1" applyAlignment="1" applyProtection="1">
      <alignment horizontal="center" vertical="center"/>
      <protection locked="0"/>
    </xf>
    <xf numFmtId="0" fontId="11" fillId="0" borderId="25" xfId="0" applyFont="1" applyBorder="1" applyAlignment="1" applyProtection="1">
      <alignment horizontal="center" vertical="center"/>
      <protection locked="0"/>
    </xf>
    <xf numFmtId="0" fontId="5" fillId="0" borderId="34" xfId="0"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24" xfId="0" applyFont="1" applyBorder="1" applyAlignment="1">
      <alignment vertical="center"/>
    </xf>
    <xf numFmtId="0" fontId="5" fillId="3" borderId="24" xfId="0" applyFont="1" applyFill="1" applyBorder="1" applyAlignment="1" applyProtection="1">
      <alignment vertical="center"/>
      <protection locked="0"/>
    </xf>
    <xf numFmtId="0" fontId="5" fillId="3" borderId="31" xfId="0" applyFont="1" applyFill="1" applyBorder="1" applyAlignment="1" applyProtection="1">
      <alignment horizontal="center" vertical="center"/>
      <protection locked="0"/>
    </xf>
    <xf numFmtId="165" fontId="2" fillId="0" borderId="1" xfId="0" applyNumberFormat="1" applyFont="1" applyBorder="1" applyAlignment="1">
      <alignment horizontal="center" vertical="center" wrapText="1"/>
    </xf>
    <xf numFmtId="165" fontId="2" fillId="0" borderId="33" xfId="0" applyNumberFormat="1" applyFont="1" applyBorder="1" applyAlignment="1">
      <alignment horizontal="center" vertical="center" wrapText="1"/>
    </xf>
    <xf numFmtId="0" fontId="5" fillId="0" borderId="12" xfId="2" applyFont="1" applyBorder="1" applyAlignment="1" applyProtection="1">
      <alignment horizontal="center" vertical="center"/>
      <protection locked="0"/>
    </xf>
    <xf numFmtId="0" fontId="5" fillId="0" borderId="13" xfId="2" applyFont="1" applyBorder="1" applyAlignment="1" applyProtection="1">
      <alignment horizontal="center" vertical="center"/>
      <protection locked="0"/>
    </xf>
    <xf numFmtId="0" fontId="5" fillId="0" borderId="14" xfId="2" applyFont="1" applyBorder="1" applyAlignment="1" applyProtection="1">
      <alignment horizontal="center" vertical="center"/>
      <protection locked="0"/>
    </xf>
    <xf numFmtId="0" fontId="5" fillId="0" borderId="15" xfId="2" applyFont="1" applyBorder="1" applyAlignment="1" applyProtection="1">
      <alignment horizontal="center" vertical="center"/>
      <protection locked="0"/>
    </xf>
    <xf numFmtId="0" fontId="5" fillId="0" borderId="47" xfId="2" applyFont="1" applyBorder="1" applyAlignment="1" applyProtection="1">
      <alignment horizontal="center" vertical="center"/>
      <protection locked="0"/>
    </xf>
    <xf numFmtId="0" fontId="4" fillId="4" borderId="8" xfId="0" applyFont="1" applyFill="1" applyBorder="1" applyAlignment="1">
      <alignment horizontal="right" vertical="center"/>
    </xf>
    <xf numFmtId="0" fontId="11" fillId="4" borderId="8" xfId="0" applyFont="1" applyFill="1" applyBorder="1" applyAlignment="1">
      <alignment horizontal="center" vertical="center"/>
    </xf>
    <xf numFmtId="0" fontId="5" fillId="4" borderId="41" xfId="2" applyFont="1" applyFill="1" applyBorder="1" applyAlignment="1">
      <alignment horizontal="center" vertical="center"/>
    </xf>
    <xf numFmtId="0" fontId="5" fillId="4" borderId="42" xfId="2" applyFont="1" applyFill="1" applyBorder="1" applyAlignment="1">
      <alignment horizontal="center" vertical="center"/>
    </xf>
    <xf numFmtId="0" fontId="5" fillId="4" borderId="43" xfId="2" applyFont="1" applyFill="1" applyBorder="1" applyAlignment="1">
      <alignment horizontal="center" vertical="center"/>
    </xf>
    <xf numFmtId="0" fontId="5" fillId="4" borderId="46" xfId="2" applyFont="1" applyFill="1" applyBorder="1" applyAlignment="1">
      <alignment horizontal="center" vertical="center"/>
    </xf>
    <xf numFmtId="0" fontId="11" fillId="4" borderId="44" xfId="0" applyFont="1" applyFill="1" applyBorder="1" applyAlignment="1">
      <alignment horizontal="center" vertical="center"/>
    </xf>
    <xf numFmtId="0" fontId="5" fillId="4" borderId="7" xfId="0" applyFont="1" applyFill="1" applyBorder="1" applyAlignment="1" applyProtection="1">
      <alignment vertical="center" wrapText="1"/>
      <protection locked="0"/>
    </xf>
    <xf numFmtId="0" fontId="5" fillId="4" borderId="8" xfId="0" applyFont="1" applyFill="1" applyBorder="1" applyAlignment="1" applyProtection="1">
      <alignment vertical="center" wrapText="1"/>
      <protection locked="0"/>
    </xf>
    <xf numFmtId="0" fontId="5" fillId="4" borderId="9" xfId="0" applyFont="1" applyFill="1" applyBorder="1" applyAlignment="1" applyProtection="1">
      <alignment vertical="center" wrapText="1"/>
      <protection locked="0"/>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11" fillId="2" borderId="8" xfId="0" applyFont="1" applyFill="1" applyBorder="1" applyAlignment="1">
      <alignment horizontal="center" vertical="center"/>
    </xf>
    <xf numFmtId="0" fontId="3" fillId="2" borderId="41" xfId="0" applyFont="1" applyFill="1" applyBorder="1" applyAlignment="1">
      <alignment horizontal="center" vertical="center"/>
    </xf>
    <xf numFmtId="0" fontId="3" fillId="2" borderId="42"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3" xfId="0" applyFont="1" applyBorder="1" applyAlignment="1">
      <alignment horizontal="center" vertical="center"/>
    </xf>
    <xf numFmtId="0" fontId="4" fillId="0" borderId="0" xfId="0" applyFont="1" applyAlignment="1">
      <alignment horizontal="center" vertical="center"/>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3" xfId="0" applyFont="1" applyBorder="1" applyAlignment="1">
      <alignment horizontal="center" vertical="center"/>
    </xf>
    <xf numFmtId="0" fontId="3" fillId="0" borderId="46" xfId="0" applyFont="1" applyBorder="1" applyAlignment="1">
      <alignment horizontal="center" vertical="center"/>
    </xf>
    <xf numFmtId="0" fontId="4" fillId="0" borderId="23" xfId="0" applyFont="1" applyBorder="1" applyAlignment="1">
      <alignment horizontal="center" vertical="center"/>
    </xf>
    <xf numFmtId="0" fontId="9" fillId="0" borderId="41" xfId="0" applyFont="1" applyBorder="1" applyAlignment="1" applyProtection="1">
      <alignment horizontal="center" vertical="center"/>
      <protection locked="0"/>
    </xf>
    <xf numFmtId="0" fontId="9" fillId="0" borderId="42" xfId="0" applyFont="1" applyBorder="1" applyAlignment="1" applyProtection="1">
      <alignment horizontal="center" vertical="center"/>
      <protection locked="0"/>
    </xf>
    <xf numFmtId="0" fontId="9" fillId="0" borderId="43" xfId="0" applyFont="1" applyBorder="1" applyAlignment="1" applyProtection="1">
      <alignment horizontal="center" vertical="center"/>
      <protection locked="0"/>
    </xf>
    <xf numFmtId="0" fontId="18" fillId="0" borderId="0" xfId="0" applyFont="1" applyAlignment="1">
      <alignment horizontal="right" vertical="center"/>
    </xf>
    <xf numFmtId="0" fontId="6" fillId="0" borderId="0" xfId="0" applyFont="1" applyAlignment="1">
      <alignment horizontal="center" vertical="center"/>
    </xf>
    <xf numFmtId="0" fontId="7" fillId="0" borderId="0" xfId="0" applyFont="1" applyAlignment="1">
      <alignment horizontal="center" vertical="center"/>
    </xf>
    <xf numFmtId="17" fontId="9" fillId="0" borderId="41" xfId="0" applyNumberFormat="1" applyFont="1" applyBorder="1" applyAlignment="1" applyProtection="1">
      <alignment horizontal="center" vertical="center"/>
      <protection locked="0"/>
    </xf>
    <xf numFmtId="0" fontId="5" fillId="0" borderId="30" xfId="0" applyFont="1" applyBorder="1" applyAlignment="1" applyProtection="1">
      <alignment horizontal="center" vertical="center"/>
      <protection locked="0"/>
    </xf>
    <xf numFmtId="0" fontId="5" fillId="0" borderId="24" xfId="0" applyFont="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65" xfId="0" applyFont="1" applyBorder="1" applyAlignment="1" applyProtection="1">
      <alignment horizontal="center" vertical="center"/>
      <protection locked="0"/>
    </xf>
    <xf numFmtId="0" fontId="5" fillId="0" borderId="34" xfId="0" applyFont="1" applyBorder="1" applyAlignment="1" applyProtection="1">
      <alignment horizontal="center" vertical="center"/>
      <protection locked="0"/>
    </xf>
    <xf numFmtId="0" fontId="5" fillId="0" borderId="2" xfId="0" applyFont="1" applyBorder="1" applyAlignment="1" applyProtection="1">
      <alignment horizontal="center" vertical="center"/>
      <protection locked="0"/>
    </xf>
    <xf numFmtId="0" fontId="5" fillId="0" borderId="35" xfId="0" applyFont="1" applyBorder="1" applyAlignment="1" applyProtection="1">
      <alignment horizontal="center" vertical="center"/>
      <protection locked="0"/>
    </xf>
    <xf numFmtId="0" fontId="10" fillId="0" borderId="5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55"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6" xfId="0" applyFont="1" applyBorder="1" applyAlignment="1">
      <alignment horizontal="center" vertical="center" wrapText="1"/>
    </xf>
    <xf numFmtId="0" fontId="10" fillId="0" borderId="22" xfId="0" applyFont="1" applyBorder="1" applyAlignment="1">
      <alignment horizontal="center" vertical="center" wrapTex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6" xfId="0" applyFont="1" applyBorder="1" applyAlignment="1">
      <alignment horizontal="center" vertical="center" wrapText="1"/>
    </xf>
    <xf numFmtId="0" fontId="11" fillId="0" borderId="16" xfId="0" applyFont="1" applyBorder="1" applyAlignment="1">
      <alignment horizontal="center" vertical="center" wrapText="1"/>
    </xf>
    <xf numFmtId="0" fontId="11"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1" xfId="0" applyFont="1" applyBorder="1" applyAlignment="1">
      <alignment horizontal="center" vertical="center" wrapText="1"/>
    </xf>
    <xf numFmtId="0" fontId="12" fillId="0" borderId="0" xfId="0" applyFont="1" applyAlignment="1">
      <alignment horizontal="center" vertical="center" wrapText="1"/>
    </xf>
    <xf numFmtId="0" fontId="12" fillId="0" borderId="17" xfId="0" applyFont="1" applyBorder="1" applyAlignment="1">
      <alignment horizontal="center" vertical="center" wrapText="1"/>
    </xf>
    <xf numFmtId="0" fontId="5" fillId="0" borderId="34" xfId="0" applyFont="1" applyBorder="1" applyAlignment="1" applyProtection="1">
      <alignment horizontal="left" vertical="center"/>
      <protection locked="0"/>
    </xf>
    <xf numFmtId="0" fontId="5" fillId="0" borderId="2" xfId="0" applyFont="1" applyBorder="1" applyAlignment="1" applyProtection="1">
      <alignment horizontal="left" vertical="center"/>
      <protection locked="0"/>
    </xf>
    <xf numFmtId="0" fontId="5" fillId="0" borderId="51" xfId="0" applyFont="1" applyBorder="1" applyAlignment="1" applyProtection="1">
      <alignment horizontal="center" vertical="center"/>
      <protection locked="0"/>
    </xf>
    <xf numFmtId="0" fontId="5" fillId="0" borderId="31" xfId="0" applyFont="1" applyBorder="1" applyAlignment="1" applyProtection="1">
      <alignment horizontal="center" vertical="center"/>
      <protection locked="0"/>
    </xf>
    <xf numFmtId="0" fontId="5" fillId="0" borderId="61" xfId="0" applyFont="1" applyBorder="1" applyAlignment="1" applyProtection="1">
      <alignment horizontal="left" vertical="center"/>
      <protection locked="0"/>
    </xf>
    <xf numFmtId="0" fontId="5" fillId="0" borderId="39" xfId="0" applyFont="1" applyBorder="1" applyAlignment="1" applyProtection="1">
      <alignment horizontal="center" vertical="center"/>
      <protection locked="0"/>
    </xf>
    <xf numFmtId="0" fontId="5" fillId="0" borderId="40" xfId="0" applyFont="1" applyBorder="1" applyAlignment="1" applyProtection="1">
      <alignment horizontal="center" vertical="center"/>
      <protection locked="0"/>
    </xf>
    <xf numFmtId="0" fontId="4" fillId="2" borderId="53" xfId="0" applyFont="1" applyFill="1" applyBorder="1" applyAlignment="1">
      <alignment horizontal="right" vertical="center"/>
    </xf>
    <xf numFmtId="0" fontId="4" fillId="2" borderId="46" xfId="0" applyFont="1" applyFill="1" applyBorder="1" applyAlignment="1">
      <alignment horizontal="right" vertical="center"/>
    </xf>
    <xf numFmtId="0" fontId="5" fillId="2" borderId="41"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4" fillId="0" borderId="53" xfId="0" applyFont="1" applyBorder="1" applyAlignment="1">
      <alignment horizontal="center" vertical="center"/>
    </xf>
    <xf numFmtId="0" fontId="4" fillId="0" borderId="46" xfId="0" applyFont="1" applyBorder="1" applyAlignment="1">
      <alignment horizontal="center" vertical="center"/>
    </xf>
    <xf numFmtId="0" fontId="5" fillId="0" borderId="21"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14" fillId="0" borderId="0" xfId="0" applyFont="1" applyAlignment="1">
      <alignment horizontal="left" vertical="center"/>
    </xf>
    <xf numFmtId="0" fontId="5" fillId="0" borderId="0" xfId="0" applyFont="1" applyAlignment="1">
      <alignment horizontal="center" vertical="center"/>
    </xf>
    <xf numFmtId="0" fontId="5" fillId="0" borderId="45" xfId="0" applyFont="1" applyBorder="1" applyAlignment="1" applyProtection="1">
      <alignment horizontal="center" vertical="center"/>
      <protection locked="0"/>
    </xf>
    <xf numFmtId="0" fontId="3" fillId="0" borderId="5" xfId="0" applyFont="1" applyBorder="1" applyAlignment="1">
      <alignment horizontal="right" vertical="center" wrapText="1"/>
    </xf>
    <xf numFmtId="0" fontId="3" fillId="0" borderId="6" xfId="0" applyFont="1" applyBorder="1" applyAlignment="1">
      <alignment horizontal="right" vertical="center" wrapText="1"/>
    </xf>
    <xf numFmtId="0" fontId="3" fillId="0" borderId="21" xfId="0" applyFont="1" applyBorder="1" applyAlignment="1">
      <alignment horizontal="right" vertical="center" wrapText="1"/>
    </xf>
    <xf numFmtId="0" fontId="3" fillId="0" borderId="16" xfId="0" applyFont="1" applyBorder="1" applyAlignment="1">
      <alignment horizontal="right" vertical="center" wrapText="1"/>
    </xf>
    <xf numFmtId="0" fontId="3" fillId="0" borderId="10" xfId="0" applyFont="1" applyBorder="1" applyAlignment="1">
      <alignment horizontal="center" vertical="center"/>
    </xf>
    <xf numFmtId="0" fontId="3" fillId="0" borderId="22" xfId="0" applyFont="1" applyBorder="1" applyAlignment="1">
      <alignment horizontal="center" vertical="center"/>
    </xf>
    <xf numFmtId="0" fontId="11" fillId="0" borderId="24"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0" xfId="0" applyFont="1" applyAlignment="1">
      <alignment horizontal="left" vertical="center"/>
    </xf>
    <xf numFmtId="0" fontId="5" fillId="0" borderId="5" xfId="0" applyFont="1" applyBorder="1" applyAlignment="1">
      <alignment horizontal="left" vertical="center" wrapText="1"/>
    </xf>
    <xf numFmtId="0" fontId="5" fillId="0" borderId="6" xfId="0" applyFont="1" applyBorder="1" applyAlignment="1">
      <alignment horizontal="left" vertical="center" wrapText="1"/>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7" fillId="0" borderId="5" xfId="0" applyFont="1" applyBorder="1" applyAlignment="1">
      <alignment horizontal="right" vertical="center"/>
    </xf>
    <xf numFmtId="0" fontId="7" fillId="0" borderId="6" xfId="0" applyFont="1" applyBorder="1" applyAlignment="1">
      <alignment horizontal="right" vertical="center"/>
    </xf>
    <xf numFmtId="0" fontId="7" fillId="0" borderId="50" xfId="0" applyFont="1" applyBorder="1" applyAlignment="1">
      <alignment horizontal="right" vertical="center"/>
    </xf>
    <xf numFmtId="0" fontId="7" fillId="0" borderId="51" xfId="0" applyFont="1" applyBorder="1" applyAlignment="1">
      <alignment horizontal="right" vertical="center"/>
    </xf>
    <xf numFmtId="0" fontId="7" fillId="0" borderId="29" xfId="0" applyFont="1" applyBorder="1" applyAlignment="1">
      <alignment horizontal="right" vertical="center"/>
    </xf>
    <xf numFmtId="0" fontId="7" fillId="0" borderId="15" xfId="0" applyFont="1" applyBorder="1" applyAlignment="1">
      <alignment horizontal="right" vertical="center"/>
    </xf>
    <xf numFmtId="0" fontId="5" fillId="0" borderId="13"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0" borderId="14" xfId="0" applyFont="1" applyBorder="1" applyAlignment="1">
      <alignment horizontal="center" vertical="center"/>
    </xf>
    <xf numFmtId="0" fontId="5" fillId="0" borderId="33" xfId="0" applyFont="1" applyBorder="1" applyAlignment="1">
      <alignment horizontal="center" vertical="center"/>
    </xf>
    <xf numFmtId="0" fontId="15" fillId="0" borderId="6" xfId="0" applyFont="1" applyBorder="1" applyAlignment="1">
      <alignment horizontal="center" vertical="center" wrapText="1"/>
    </xf>
    <xf numFmtId="0" fontId="15" fillId="0" borderId="10"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22" xfId="0" applyFont="1" applyBorder="1" applyAlignment="1">
      <alignment horizontal="center" vertical="center" wrapText="1"/>
    </xf>
    <xf numFmtId="0" fontId="12" fillId="0" borderId="0" xfId="0" applyFont="1" applyAlignment="1">
      <alignment horizontal="right" vertical="center"/>
    </xf>
    <xf numFmtId="0" fontId="7" fillId="0" borderId="0" xfId="0" applyFont="1" applyAlignment="1">
      <alignment horizontal="right" vertical="center"/>
    </xf>
    <xf numFmtId="0" fontId="12" fillId="0" borderId="29" xfId="0" applyFont="1" applyBorder="1" applyAlignment="1">
      <alignment horizontal="center" vertical="center"/>
    </xf>
    <xf numFmtId="0" fontId="12" fillId="0" borderId="0" xfId="0" applyFont="1" applyAlignment="1">
      <alignment horizontal="center" vertical="center"/>
    </xf>
    <xf numFmtId="0" fontId="7" fillId="0" borderId="32" xfId="0" applyFont="1" applyBorder="1" applyAlignment="1">
      <alignment horizontal="right" vertical="center" wrapText="1"/>
    </xf>
    <xf numFmtId="0" fontId="7" fillId="0" borderId="1" xfId="0" applyFont="1" applyBorder="1" applyAlignment="1">
      <alignment horizontal="right" vertical="center" wrapText="1"/>
    </xf>
    <xf numFmtId="0" fontId="5" fillId="0" borderId="1" xfId="0" applyFont="1" applyBorder="1" applyAlignment="1" applyProtection="1">
      <alignment horizontal="center" vertical="center" wrapText="1"/>
      <protection locked="0"/>
    </xf>
    <xf numFmtId="0" fontId="5" fillId="0" borderId="38" xfId="0" applyFont="1" applyBorder="1" applyAlignment="1">
      <alignment horizontal="center" vertical="center" wrapText="1"/>
    </xf>
    <xf numFmtId="0" fontId="5" fillId="0" borderId="14" xfId="0" applyFont="1" applyBorder="1" applyAlignment="1">
      <alignment horizontal="center" vertical="center" wrapText="1"/>
    </xf>
    <xf numFmtId="0" fontId="12" fillId="0" borderId="36" xfId="0" applyFont="1" applyBorder="1" applyAlignment="1">
      <alignment horizontal="center" vertical="center"/>
    </xf>
    <xf numFmtId="0" fontId="7" fillId="0" borderId="0" xfId="0" applyFont="1" applyAlignment="1">
      <alignment horizontal="right" vertical="center" wrapText="1"/>
    </xf>
    <xf numFmtId="0" fontId="12" fillId="0" borderId="29" xfId="0" applyFont="1" applyBorder="1" applyAlignment="1">
      <alignment horizontal="center" vertical="center" wrapText="1"/>
    </xf>
    <xf numFmtId="165" fontId="2" fillId="0" borderId="37" xfId="1" applyNumberFormat="1" applyFont="1" applyFill="1" applyBorder="1" applyAlignment="1" applyProtection="1">
      <alignment horizontal="center" vertical="center" wrapText="1"/>
    </xf>
    <xf numFmtId="165" fontId="2" fillId="0" borderId="13" xfId="1" applyNumberFormat="1" applyFont="1" applyFill="1" applyBorder="1" applyAlignment="1" applyProtection="1">
      <alignment horizontal="center" vertical="center" wrapText="1"/>
    </xf>
    <xf numFmtId="165" fontId="2" fillId="0" borderId="38" xfId="1" applyNumberFormat="1" applyFont="1" applyFill="1" applyBorder="1" applyAlignment="1" applyProtection="1">
      <alignment horizontal="center" vertical="center" wrapText="1"/>
    </xf>
    <xf numFmtId="165" fontId="2" fillId="0" borderId="14" xfId="1" applyNumberFormat="1" applyFont="1" applyFill="1" applyBorder="1" applyAlignment="1" applyProtection="1">
      <alignment horizontal="center" vertical="center" wrapText="1"/>
    </xf>
    <xf numFmtId="0" fontId="7" fillId="0" borderId="32" xfId="0" applyFont="1" applyBorder="1" applyAlignment="1">
      <alignment horizontal="right" vertical="center"/>
    </xf>
    <xf numFmtId="0" fontId="7" fillId="0" borderId="1" xfId="0" applyFont="1" applyBorder="1" applyAlignment="1">
      <alignment horizontal="right" vertical="center"/>
    </xf>
    <xf numFmtId="0" fontId="12" fillId="0" borderId="0" xfId="0" applyFont="1" applyAlignment="1">
      <alignment horizontal="left" vertical="top" wrapText="1"/>
    </xf>
    <xf numFmtId="165" fontId="5" fillId="0" borderId="1" xfId="0" applyNumberFormat="1" applyFont="1" applyBorder="1" applyAlignment="1">
      <alignment horizontal="center" vertical="center"/>
    </xf>
    <xf numFmtId="165" fontId="5" fillId="0" borderId="33" xfId="1" applyNumberFormat="1" applyFont="1" applyFill="1" applyBorder="1" applyAlignment="1" applyProtection="1">
      <alignment horizontal="center" vertical="center"/>
    </xf>
    <xf numFmtId="0" fontId="12" fillId="0" borderId="0" xfId="0" applyFont="1" applyAlignment="1">
      <alignment horizontal="right" vertical="center" wrapText="1"/>
    </xf>
    <xf numFmtId="0" fontId="12" fillId="0" borderId="0" xfId="0" applyFont="1" applyAlignment="1">
      <alignment horizontal="left" vertical="center" wrapText="1"/>
    </xf>
    <xf numFmtId="0" fontId="5" fillId="0" borderId="37" xfId="0" applyFont="1" applyBorder="1" applyAlignment="1">
      <alignment horizontal="center" vertical="center"/>
    </xf>
    <xf numFmtId="0" fontId="5" fillId="0" borderId="13" xfId="0" applyFont="1" applyBorder="1" applyAlignment="1">
      <alignment horizontal="center" vertical="center"/>
    </xf>
    <xf numFmtId="0" fontId="5" fillId="0" borderId="38" xfId="0" applyFont="1" applyBorder="1" applyAlignment="1">
      <alignment horizontal="center" vertical="center"/>
    </xf>
    <xf numFmtId="0" fontId="12" fillId="0" borderId="32" xfId="0" applyFont="1" applyBorder="1" applyAlignment="1">
      <alignment horizontal="right" vertical="center"/>
    </xf>
    <xf numFmtId="0" fontId="12" fillId="0" borderId="1" xfId="0" applyFont="1" applyBorder="1" applyAlignment="1">
      <alignment horizontal="right" vertical="center"/>
    </xf>
    <xf numFmtId="0" fontId="5" fillId="0" borderId="1"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0" xfId="0" applyFont="1" applyAlignment="1" applyProtection="1">
      <alignment horizontal="center" vertical="center"/>
      <protection locked="0"/>
    </xf>
    <xf numFmtId="0" fontId="5" fillId="0" borderId="17" xfId="0" applyFont="1" applyBorder="1" applyAlignment="1">
      <alignment horizontal="left" vertical="center" wrapText="1"/>
    </xf>
    <xf numFmtId="0" fontId="5" fillId="0" borderId="36" xfId="0" applyFont="1" applyBorder="1" applyAlignment="1">
      <alignment horizontal="center" vertical="center"/>
    </xf>
    <xf numFmtId="0" fontId="17" fillId="0" borderId="0" xfId="0" applyFont="1" applyAlignment="1">
      <alignment horizontal="center"/>
    </xf>
    <xf numFmtId="0" fontId="5" fillId="0" borderId="1" xfId="0" applyFont="1" applyBorder="1" applyAlignment="1">
      <alignment horizontal="center" vertical="center"/>
    </xf>
    <xf numFmtId="0" fontId="5" fillId="0" borderId="0" xfId="0" applyFont="1" applyAlignment="1">
      <alignment horizontal="center" vertical="center" wrapText="1"/>
    </xf>
    <xf numFmtId="0" fontId="12" fillId="0" borderId="52" xfId="0" applyFont="1" applyBorder="1" applyAlignment="1">
      <alignment horizontal="right" vertical="center"/>
    </xf>
    <xf numFmtId="0" fontId="12" fillId="0" borderId="48" xfId="0" applyFont="1" applyBorder="1" applyAlignment="1">
      <alignment horizontal="right" vertical="center"/>
    </xf>
    <xf numFmtId="0" fontId="5" fillId="0" borderId="48" xfId="0" applyFont="1" applyBorder="1" applyAlignment="1">
      <alignment horizontal="center" vertical="center"/>
    </xf>
    <xf numFmtId="0" fontId="5" fillId="0" borderId="49" xfId="0" applyFont="1" applyBorder="1" applyAlignment="1">
      <alignment horizontal="center" vertical="center" wrapText="1"/>
    </xf>
  </cellXfs>
  <cellStyles count="3">
    <cellStyle name="Normal" xfId="0" builtinId="0"/>
    <cellStyle name="Normal 2" xfId="2" xr:uid="{E801149C-E012-4C4A-A5A5-465AB919484C}"/>
    <cellStyle name="Percent" xfId="1" builtinId="5"/>
  </cellStyles>
  <dxfs count="1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0" tint="-4.9989318521683403E-2"/>
        </patternFill>
      </fill>
    </dxf>
    <dxf>
      <fill>
        <patternFill>
          <bgColor rgb="FFFFC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495301</xdr:colOff>
      <xdr:row>0</xdr:row>
      <xdr:rowOff>43543</xdr:rowOff>
    </xdr:from>
    <xdr:ext cx="1768928" cy="1763128"/>
    <xdr:pic>
      <xdr:nvPicPr>
        <xdr:cNvPr id="2" name="Picture 1">
          <a:extLst>
            <a:ext uri="{FF2B5EF4-FFF2-40B4-BE49-F238E27FC236}">
              <a16:creationId xmlns:a16="http://schemas.microsoft.com/office/drawing/2014/main" id="{EE6BA3D4-9747-4D58-8D63-9AB2B354E6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141" b="141"/>
        <a:stretch/>
      </xdr:blipFill>
      <xdr:spPr>
        <a:xfrm>
          <a:off x="789215" y="43543"/>
          <a:ext cx="1768928" cy="1763128"/>
        </a:xfrm>
        <a:prstGeom prst="rect">
          <a:avLst/>
        </a:prstGeom>
      </xdr:spPr>
    </xdr:pic>
    <xdr:clientData/>
  </xdr:oneCellAnchor>
  <xdr:oneCellAnchor>
    <xdr:from>
      <xdr:col>34</xdr:col>
      <xdr:colOff>88881</xdr:colOff>
      <xdr:row>0</xdr:row>
      <xdr:rowOff>72135</xdr:rowOff>
    </xdr:from>
    <xdr:ext cx="2295571" cy="1123933"/>
    <xdr:pic>
      <xdr:nvPicPr>
        <xdr:cNvPr id="3" name="Picture 2">
          <a:extLst>
            <a:ext uri="{FF2B5EF4-FFF2-40B4-BE49-F238E27FC236}">
              <a16:creationId xmlns:a16="http://schemas.microsoft.com/office/drawing/2014/main" id="{15826D10-8B5B-4471-81EE-53FC708FCEE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bwMode="auto">
        <a:xfrm>
          <a:off x="14730167" y="72135"/>
          <a:ext cx="2295571" cy="1123933"/>
        </a:xfrm>
        <a:prstGeom prst="rect">
          <a:avLst/>
        </a:prstGeom>
        <a:noFill/>
        <a:ln w="9525">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9947C-9958-4D2D-B149-FF0CF857CE7A}">
  <dimension ref="A1:AN126"/>
  <sheetViews>
    <sheetView showGridLines="0" tabSelected="1" showWhiteSpace="0" view="pageLayout" zoomScale="80" zoomScaleNormal="70" zoomScaleSheetLayoutView="85" zoomScalePageLayoutView="80" workbookViewId="0">
      <selection activeCell="G8" sqref="G8:R8"/>
    </sheetView>
  </sheetViews>
  <sheetFormatPr defaultColWidth="10.33203125" defaultRowHeight="13.8" x14ac:dyDescent="0.3"/>
  <cols>
    <col min="1" max="1" width="4.109375" style="30" customWidth="1"/>
    <col min="2" max="2" width="56" style="30" customWidth="1"/>
    <col min="3" max="6" width="5.77734375" style="30" hidden="1" customWidth="1"/>
    <col min="7" max="31" width="4.6640625" style="30" customWidth="1"/>
    <col min="32" max="32" width="8.44140625" style="30" customWidth="1"/>
    <col min="33" max="33" width="9.6640625" style="30" bestFit="1" customWidth="1"/>
    <col min="34" max="34" width="9" style="30" customWidth="1"/>
    <col min="35" max="35" width="7" style="30" customWidth="1"/>
    <col min="36" max="36" width="6.5546875" style="30" customWidth="1"/>
    <col min="37" max="37" width="6.88671875" style="30" customWidth="1"/>
    <col min="38" max="38" width="7" style="30" customWidth="1"/>
    <col min="39" max="39" width="6.33203125" style="30" customWidth="1"/>
    <col min="40" max="40" width="2.109375" style="30" hidden="1" customWidth="1"/>
    <col min="41" max="16384" width="10.33203125" style="30"/>
  </cols>
  <sheetData>
    <row r="1" spans="1:40" ht="13.2" customHeight="1" x14ac:dyDescent="0.35">
      <c r="A1" s="26"/>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8"/>
      <c r="AI1" s="29"/>
      <c r="AJ1" s="29"/>
      <c r="AK1" s="29"/>
      <c r="AL1" s="29"/>
      <c r="AM1" s="29"/>
    </row>
    <row r="2" spans="1:40" ht="27" customHeight="1" x14ac:dyDescent="0.3">
      <c r="A2" s="137" t="s">
        <v>0</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row>
    <row r="3" spans="1:40" ht="19.5" customHeight="1" x14ac:dyDescent="0.3">
      <c r="A3" s="138" t="s">
        <v>1</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row>
    <row r="4" spans="1:40" ht="6.75" customHeight="1" x14ac:dyDescent="0.3">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row>
    <row r="5" spans="1:40" ht="6.75" customHeight="1" thickBot="1" x14ac:dyDescent="0.3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row r="6" spans="1:40" ht="40.5" customHeight="1" thickBot="1" x14ac:dyDescent="0.35">
      <c r="A6" s="31"/>
      <c r="B6" s="32" t="s">
        <v>2</v>
      </c>
      <c r="C6" s="33"/>
      <c r="D6" s="33"/>
      <c r="E6" s="33"/>
      <c r="F6" s="33"/>
      <c r="G6" s="133">
        <v>109532</v>
      </c>
      <c r="H6" s="134"/>
      <c r="I6" s="134"/>
      <c r="J6" s="135"/>
      <c r="K6" s="34"/>
      <c r="L6" s="34"/>
      <c r="M6" s="32" t="s">
        <v>3</v>
      </c>
      <c r="N6" s="133" t="s">
        <v>88</v>
      </c>
      <c r="O6" s="134"/>
      <c r="P6" s="134"/>
      <c r="Q6" s="134"/>
      <c r="R6" s="135"/>
      <c r="S6" s="34"/>
      <c r="T6" s="136" t="s">
        <v>4</v>
      </c>
      <c r="U6" s="136"/>
      <c r="V6" s="136"/>
      <c r="W6" s="136"/>
      <c r="X6" s="136"/>
      <c r="Y6" s="136"/>
      <c r="Z6" s="136"/>
      <c r="AA6" s="139"/>
      <c r="AB6" s="134"/>
      <c r="AC6" s="134"/>
      <c r="AD6" s="134"/>
      <c r="AE6" s="134"/>
      <c r="AF6" s="135"/>
      <c r="AG6" s="34"/>
      <c r="AH6" s="34"/>
      <c r="AI6" s="34"/>
      <c r="AJ6" s="34"/>
      <c r="AK6" s="34"/>
      <c r="AL6" s="31"/>
      <c r="AM6" s="31"/>
    </row>
    <row r="7" spans="1:40" ht="12" customHeight="1" thickBot="1" x14ac:dyDescent="0.35">
      <c r="A7" s="31"/>
      <c r="B7" s="33"/>
      <c r="C7" s="33"/>
      <c r="D7" s="33"/>
      <c r="E7" s="33"/>
      <c r="F7" s="33"/>
      <c r="G7" s="34"/>
      <c r="H7" s="34"/>
      <c r="I7" s="34"/>
      <c r="J7" s="34"/>
      <c r="K7" s="34"/>
      <c r="L7" s="34"/>
      <c r="M7" s="33"/>
      <c r="N7" s="34"/>
      <c r="O7" s="34"/>
      <c r="P7" s="34"/>
      <c r="Q7" s="34"/>
      <c r="R7" s="34"/>
      <c r="S7" s="34"/>
      <c r="T7" s="33"/>
      <c r="U7" s="33"/>
      <c r="V7" s="33"/>
      <c r="W7" s="33"/>
      <c r="X7" s="33"/>
      <c r="Y7" s="33"/>
      <c r="Z7" s="33"/>
      <c r="AA7" s="35"/>
      <c r="AB7" s="34"/>
      <c r="AC7" s="34"/>
      <c r="AD7" s="34"/>
      <c r="AE7" s="34"/>
      <c r="AF7" s="34"/>
      <c r="AG7" s="34"/>
      <c r="AH7" s="34"/>
      <c r="AI7" s="34"/>
      <c r="AJ7" s="34"/>
      <c r="AK7" s="34"/>
      <c r="AL7" s="31"/>
      <c r="AM7" s="31"/>
    </row>
    <row r="8" spans="1:40" ht="41.25" customHeight="1" thickBot="1" x14ac:dyDescent="0.35">
      <c r="A8" s="36"/>
      <c r="B8" s="32" t="s">
        <v>5</v>
      </c>
      <c r="C8" s="33"/>
      <c r="D8" s="33"/>
      <c r="E8" s="33"/>
      <c r="F8" s="33"/>
      <c r="G8" s="133" t="s">
        <v>90</v>
      </c>
      <c r="H8" s="134"/>
      <c r="I8" s="134"/>
      <c r="J8" s="134"/>
      <c r="K8" s="134"/>
      <c r="L8" s="134"/>
      <c r="M8" s="134"/>
      <c r="N8" s="134"/>
      <c r="O8" s="134"/>
      <c r="P8" s="134"/>
      <c r="Q8" s="134"/>
      <c r="R8" s="135"/>
      <c r="S8" s="37"/>
      <c r="T8" s="37"/>
      <c r="U8" s="37"/>
      <c r="V8" s="37"/>
      <c r="W8" s="136" t="s">
        <v>6</v>
      </c>
      <c r="X8" s="136"/>
      <c r="Y8" s="136"/>
      <c r="Z8" s="136"/>
      <c r="AA8" s="133" t="s">
        <v>89</v>
      </c>
      <c r="AB8" s="135"/>
      <c r="AC8" s="136" t="s">
        <v>7</v>
      </c>
      <c r="AD8" s="136"/>
      <c r="AE8" s="136"/>
      <c r="AF8" s="133"/>
      <c r="AG8" s="134"/>
      <c r="AH8" s="134"/>
      <c r="AI8" s="134"/>
      <c r="AJ8" s="134"/>
      <c r="AK8" s="135"/>
      <c r="AL8" s="36"/>
      <c r="AM8" s="36"/>
    </row>
    <row r="9" spans="1:40" ht="6" customHeight="1" thickBot="1" x14ac:dyDescent="0.35"/>
    <row r="10" spans="1:40" ht="20.25" customHeight="1" thickBot="1" x14ac:dyDescent="0.35">
      <c r="A10" s="147" t="s">
        <v>82</v>
      </c>
      <c r="B10" s="148"/>
      <c r="C10" s="38"/>
      <c r="D10" s="38"/>
      <c r="E10" s="38"/>
      <c r="F10" s="38"/>
      <c r="G10" s="153" t="s">
        <v>83</v>
      </c>
      <c r="H10" s="154"/>
      <c r="I10" s="154"/>
      <c r="J10" s="154"/>
      <c r="K10" s="154"/>
      <c r="L10" s="154"/>
      <c r="M10" s="154"/>
      <c r="N10" s="154"/>
      <c r="O10" s="154"/>
      <c r="P10" s="154"/>
      <c r="Q10" s="154"/>
      <c r="R10" s="154"/>
      <c r="S10" s="154"/>
      <c r="T10" s="154"/>
      <c r="U10" s="154"/>
      <c r="V10" s="154"/>
      <c r="W10" s="154"/>
      <c r="X10" s="154"/>
      <c r="Y10" s="154"/>
      <c r="Z10" s="154"/>
      <c r="AA10" s="154"/>
      <c r="AB10" s="154"/>
      <c r="AC10" s="154"/>
      <c r="AD10" s="154"/>
      <c r="AE10" s="155"/>
      <c r="AF10" s="156" t="s">
        <v>8</v>
      </c>
      <c r="AG10" s="156"/>
      <c r="AH10" s="158" t="s">
        <v>9</v>
      </c>
      <c r="AI10" s="159"/>
      <c r="AJ10" s="159"/>
      <c r="AK10" s="159"/>
      <c r="AL10" s="159"/>
      <c r="AM10" s="160"/>
    </row>
    <row r="11" spans="1:40" ht="19.5" customHeight="1" thickBot="1" x14ac:dyDescent="0.35">
      <c r="A11" s="149"/>
      <c r="B11" s="150"/>
      <c r="C11" s="39"/>
      <c r="D11" s="39"/>
      <c r="E11" s="39"/>
      <c r="F11" s="39"/>
      <c r="G11" s="92"/>
      <c r="H11" s="93"/>
      <c r="I11" s="93"/>
      <c r="J11" s="93"/>
      <c r="K11" s="94"/>
      <c r="L11" s="95"/>
      <c r="M11" s="93"/>
      <c r="N11" s="93"/>
      <c r="O11" s="93"/>
      <c r="P11" s="94"/>
      <c r="Q11" s="95"/>
      <c r="R11" s="93"/>
      <c r="S11" s="93"/>
      <c r="T11" s="93"/>
      <c r="U11" s="94"/>
      <c r="V11" s="95"/>
      <c r="W11" s="93"/>
      <c r="X11" s="93"/>
      <c r="Y11" s="93"/>
      <c r="Z11" s="94"/>
      <c r="AA11" s="3"/>
      <c r="AB11" s="1"/>
      <c r="AC11" s="1"/>
      <c r="AD11" s="1"/>
      <c r="AE11" s="2"/>
      <c r="AF11" s="157"/>
      <c r="AG11" s="157"/>
      <c r="AH11" s="161"/>
      <c r="AI11" s="162"/>
      <c r="AJ11" s="162"/>
      <c r="AK11" s="162"/>
      <c r="AL11" s="162"/>
      <c r="AM11" s="163"/>
    </row>
    <row r="12" spans="1:40" ht="24.75" customHeight="1" thickBot="1" x14ac:dyDescent="0.35">
      <c r="A12" s="151"/>
      <c r="B12" s="152"/>
      <c r="C12" s="39"/>
      <c r="D12" s="39"/>
      <c r="E12" s="39"/>
      <c r="F12" s="39"/>
      <c r="G12" s="40" t="s">
        <v>10</v>
      </c>
      <c r="H12" s="41" t="s">
        <v>11</v>
      </c>
      <c r="I12" s="41" t="s">
        <v>12</v>
      </c>
      <c r="J12" s="41" t="s">
        <v>13</v>
      </c>
      <c r="K12" s="42" t="s">
        <v>14</v>
      </c>
      <c r="L12" s="40" t="s">
        <v>10</v>
      </c>
      <c r="M12" s="41" t="s">
        <v>11</v>
      </c>
      <c r="N12" s="41" t="s">
        <v>12</v>
      </c>
      <c r="O12" s="41" t="s">
        <v>13</v>
      </c>
      <c r="P12" s="42" t="s">
        <v>14</v>
      </c>
      <c r="Q12" s="40" t="s">
        <v>10</v>
      </c>
      <c r="R12" s="41" t="s">
        <v>11</v>
      </c>
      <c r="S12" s="41" t="s">
        <v>12</v>
      </c>
      <c r="T12" s="41" t="s">
        <v>13</v>
      </c>
      <c r="U12" s="42" t="s">
        <v>14</v>
      </c>
      <c r="V12" s="40" t="s">
        <v>10</v>
      </c>
      <c r="W12" s="41" t="s">
        <v>11</v>
      </c>
      <c r="X12" s="41" t="s">
        <v>12</v>
      </c>
      <c r="Y12" s="41" t="s">
        <v>13</v>
      </c>
      <c r="Z12" s="42" t="s">
        <v>14</v>
      </c>
      <c r="AA12" s="43" t="s">
        <v>10</v>
      </c>
      <c r="AB12" s="41" t="s">
        <v>11</v>
      </c>
      <c r="AC12" s="41" t="s">
        <v>12</v>
      </c>
      <c r="AD12" s="44" t="s">
        <v>13</v>
      </c>
      <c r="AE12" s="42" t="s">
        <v>14</v>
      </c>
      <c r="AF12" s="45" t="s">
        <v>15</v>
      </c>
      <c r="AG12" s="45" t="s">
        <v>16</v>
      </c>
      <c r="AH12" s="161"/>
      <c r="AI12" s="162"/>
      <c r="AJ12" s="162"/>
      <c r="AK12" s="162"/>
      <c r="AL12" s="162"/>
      <c r="AM12" s="163"/>
    </row>
    <row r="13" spans="1:40" ht="21.9" customHeight="1" x14ac:dyDescent="0.3">
      <c r="A13" s="46">
        <v>1</v>
      </c>
      <c r="B13" s="16"/>
      <c r="C13" s="4"/>
      <c r="D13" s="4"/>
      <c r="E13" s="4"/>
      <c r="F13" s="4"/>
      <c r="G13" s="5"/>
      <c r="H13" s="6"/>
      <c r="I13" s="6"/>
      <c r="J13" s="6"/>
      <c r="K13" s="21"/>
      <c r="L13" s="5"/>
      <c r="M13" s="6"/>
      <c r="N13" s="6"/>
      <c r="O13" s="6"/>
      <c r="P13" s="21"/>
      <c r="Q13" s="5"/>
      <c r="R13" s="6"/>
      <c r="S13" s="6"/>
      <c r="T13" s="6"/>
      <c r="U13" s="21"/>
      <c r="V13" s="5"/>
      <c r="W13" s="6"/>
      <c r="X13" s="6"/>
      <c r="Y13" s="6"/>
      <c r="Z13" s="21"/>
      <c r="AA13" s="89"/>
      <c r="AB13" s="6"/>
      <c r="AC13" s="6"/>
      <c r="AD13" s="6"/>
      <c r="AE13" s="21"/>
      <c r="AF13" s="118" t="str">
        <f>IF(AND(B13&lt;&gt;"",(25-COUNTBLANK($G$11:$AE$11))&lt;&gt;0),COUNTIF(G13:AE13,"A"),"")</f>
        <v/>
      </c>
      <c r="AG13" s="119" t="str">
        <f>IF(AF13="","",25-COUNTBLANK($G$11:$AE$11)-AF13)</f>
        <v/>
      </c>
      <c r="AH13" s="140"/>
      <c r="AI13" s="141"/>
      <c r="AJ13" s="98"/>
      <c r="AK13" s="99"/>
      <c r="AL13" s="99"/>
      <c r="AM13" s="100"/>
      <c r="AN13" s="30" cm="1">
        <f t="array" ref="AN13">IF(ISNUMBER(SEARCH(REPT("A",5),
_xlfn.TEXTJOIN("",TRUE,
  IF(G13:AE13="A","A",
     IF(G11:AE11="","",
        "x"
     )
  )
))),1,0)</f>
        <v>0</v>
      </c>
    </row>
    <row r="14" spans="1:40" ht="21.9" customHeight="1" x14ac:dyDescent="0.3">
      <c r="A14" s="47" t="str">
        <f>IF(AND(B13&lt;&gt;"",B14&lt;&gt;""),A13+1,"")</f>
        <v/>
      </c>
      <c r="B14" s="17"/>
      <c r="C14" s="7"/>
      <c r="D14" s="7"/>
      <c r="E14" s="7"/>
      <c r="F14" s="7"/>
      <c r="G14" s="14"/>
      <c r="H14" s="15"/>
      <c r="I14" s="15"/>
      <c r="J14" s="15"/>
      <c r="K14" s="22"/>
      <c r="L14" s="14"/>
      <c r="M14" s="15"/>
      <c r="N14" s="15"/>
      <c r="O14" s="15"/>
      <c r="P14" s="22"/>
      <c r="Q14" s="14"/>
      <c r="R14" s="15"/>
      <c r="S14" s="15"/>
      <c r="T14" s="15"/>
      <c r="U14" s="22"/>
      <c r="V14" s="14"/>
      <c r="W14" s="15"/>
      <c r="X14" s="15"/>
      <c r="Y14" s="15"/>
      <c r="Z14" s="22"/>
      <c r="AA14" s="90"/>
      <c r="AB14" s="15"/>
      <c r="AC14" s="15"/>
      <c r="AD14" s="15"/>
      <c r="AE14" s="22"/>
      <c r="AF14" s="118" t="str">
        <f t="shared" ref="AF14:AF51" si="0">IF(AND(B14&lt;&gt;"",(25-COUNTBLANK($G$11:$AE$11))&lt;&gt;0),COUNTIF(G14:AE14,"A"),"")</f>
        <v/>
      </c>
      <c r="AG14" s="119" t="str">
        <f t="shared" ref="AG14:AG54" si="1">IF(AF14="","",25-COUNTBLANK($G$11:$AE$11)-AF14)</f>
        <v/>
      </c>
      <c r="AH14" s="144"/>
      <c r="AI14" s="145"/>
      <c r="AJ14" s="142"/>
      <c r="AK14" s="142"/>
      <c r="AL14" s="142"/>
      <c r="AM14" s="143"/>
      <c r="AN14" s="30" cm="1">
        <f t="array" ref="AN14">IF(ISNUMBER(SEARCH(REPT("A",5),
_xlfn.TEXTJOIN("",TRUE,
  IF(G14:AE14="A","A",
     IF(G12:AE12="","",
        "x"
     )
  )
))),1,0)</f>
        <v>0</v>
      </c>
    </row>
    <row r="15" spans="1:40" ht="21.9" customHeight="1" x14ac:dyDescent="0.3">
      <c r="A15" s="47" t="str">
        <f t="shared" ref="A15:A52" si="2">IF(AND(B14&lt;&gt;"",B15&lt;&gt;""),A14+1,"")</f>
        <v/>
      </c>
      <c r="B15" s="17"/>
      <c r="C15" s="7"/>
      <c r="D15" s="7"/>
      <c r="E15" s="7"/>
      <c r="F15" s="7"/>
      <c r="G15" s="14"/>
      <c r="H15" s="15"/>
      <c r="I15" s="15"/>
      <c r="J15" s="15"/>
      <c r="K15" s="22"/>
      <c r="L15" s="14"/>
      <c r="M15" s="15"/>
      <c r="N15" s="15"/>
      <c r="O15" s="15"/>
      <c r="P15" s="22"/>
      <c r="Q15" s="14"/>
      <c r="R15" s="15"/>
      <c r="S15" s="15"/>
      <c r="T15" s="15"/>
      <c r="U15" s="22"/>
      <c r="V15" s="14"/>
      <c r="W15" s="15"/>
      <c r="X15" s="15"/>
      <c r="Y15" s="15"/>
      <c r="Z15" s="22"/>
      <c r="AA15" s="90"/>
      <c r="AB15" s="15"/>
      <c r="AC15" s="15"/>
      <c r="AD15" s="15"/>
      <c r="AE15" s="22"/>
      <c r="AF15" s="118" t="str">
        <f t="shared" si="0"/>
        <v/>
      </c>
      <c r="AG15" s="119" t="str">
        <f t="shared" si="1"/>
        <v/>
      </c>
      <c r="AH15" s="144"/>
      <c r="AI15" s="145"/>
      <c r="AJ15" s="145"/>
      <c r="AK15" s="145"/>
      <c r="AL15" s="145"/>
      <c r="AM15" s="146"/>
      <c r="AN15" s="30" cm="1">
        <f t="array" ref="AN15">IF(ISNUMBER(SEARCH(REPT("A",5),
_xlfn.TEXTJOIN("",TRUE,
  IF(G15:AE15="A","A",
     IF(G13:AE13="","",
        "x"
     )
  )
))),1,0)</f>
        <v>0</v>
      </c>
    </row>
    <row r="16" spans="1:40" ht="21.9" customHeight="1" x14ac:dyDescent="0.3">
      <c r="A16" s="47" t="str">
        <f t="shared" si="2"/>
        <v/>
      </c>
      <c r="B16" s="17"/>
      <c r="C16" s="7"/>
      <c r="D16" s="7"/>
      <c r="E16" s="7"/>
      <c r="F16" s="7"/>
      <c r="G16" s="14"/>
      <c r="H16" s="15"/>
      <c r="I16" s="15"/>
      <c r="J16" s="15"/>
      <c r="K16" s="22"/>
      <c r="L16" s="14"/>
      <c r="M16" s="15"/>
      <c r="N16" s="15"/>
      <c r="O16" s="15"/>
      <c r="P16" s="22"/>
      <c r="Q16" s="14"/>
      <c r="R16" s="15"/>
      <c r="S16" s="15"/>
      <c r="T16" s="15"/>
      <c r="U16" s="22"/>
      <c r="V16" s="14"/>
      <c r="W16" s="15"/>
      <c r="X16" s="15"/>
      <c r="Y16" s="15"/>
      <c r="Z16" s="22"/>
      <c r="AA16" s="90"/>
      <c r="AB16" s="15"/>
      <c r="AC16" s="15"/>
      <c r="AD16" s="15"/>
      <c r="AE16" s="22"/>
      <c r="AF16" s="118" t="str">
        <f t="shared" si="0"/>
        <v/>
      </c>
      <c r="AG16" s="119" t="str">
        <f t="shared" si="1"/>
        <v/>
      </c>
      <c r="AH16" s="144"/>
      <c r="AI16" s="145"/>
      <c r="AJ16" s="145"/>
      <c r="AK16" s="145"/>
      <c r="AL16" s="145"/>
      <c r="AM16" s="146"/>
      <c r="AN16" s="30" cm="1">
        <f t="array" ref="AN16">IF(ISNUMBER(SEARCH(REPT("A",5),
_xlfn.TEXTJOIN("",TRUE,
  IF(G16:AE16="A","A",
     IF(G14:AE14="","",
        "x"
     )
  )
))),1,0)</f>
        <v>0</v>
      </c>
    </row>
    <row r="17" spans="1:40" ht="21.9" customHeight="1" x14ac:dyDescent="0.3">
      <c r="A17" s="47" t="str">
        <f t="shared" si="2"/>
        <v/>
      </c>
      <c r="B17" s="17"/>
      <c r="C17" s="7"/>
      <c r="D17" s="7"/>
      <c r="E17" s="7"/>
      <c r="F17" s="7"/>
      <c r="G17" s="14"/>
      <c r="H17" s="15"/>
      <c r="I17" s="15"/>
      <c r="J17" s="15"/>
      <c r="K17" s="22"/>
      <c r="L17" s="14"/>
      <c r="M17" s="15"/>
      <c r="N17" s="15"/>
      <c r="O17" s="15"/>
      <c r="P17" s="22"/>
      <c r="Q17" s="14"/>
      <c r="R17" s="15"/>
      <c r="S17" s="15"/>
      <c r="T17" s="15"/>
      <c r="U17" s="22"/>
      <c r="V17" s="14"/>
      <c r="W17" s="15"/>
      <c r="X17" s="15"/>
      <c r="Y17" s="15"/>
      <c r="Z17" s="22"/>
      <c r="AA17" s="90"/>
      <c r="AB17" s="15"/>
      <c r="AC17" s="15"/>
      <c r="AD17" s="15"/>
      <c r="AE17" s="22"/>
      <c r="AF17" s="118" t="str">
        <f t="shared" si="0"/>
        <v/>
      </c>
      <c r="AG17" s="119" t="str">
        <f t="shared" si="1"/>
        <v/>
      </c>
      <c r="AH17" s="144"/>
      <c r="AI17" s="145"/>
      <c r="AJ17" s="145"/>
      <c r="AK17" s="145"/>
      <c r="AL17" s="145"/>
      <c r="AM17" s="146"/>
      <c r="AN17" s="30" cm="1">
        <f t="array" ref="AN17">IF(ISNUMBER(SEARCH(REPT("A",5),
_xlfn.TEXTJOIN("",TRUE,
  IF(G17:AE17="A","A",
     IF(G15:AE15="","",
        "x"
     )
  )
))),1,0)</f>
        <v>0</v>
      </c>
    </row>
    <row r="18" spans="1:40" ht="21.9" customHeight="1" x14ac:dyDescent="0.3">
      <c r="A18" s="47" t="str">
        <f t="shared" si="2"/>
        <v/>
      </c>
      <c r="B18" s="17"/>
      <c r="C18" s="7"/>
      <c r="D18" s="7"/>
      <c r="E18" s="7"/>
      <c r="F18" s="7"/>
      <c r="G18" s="14"/>
      <c r="H18" s="15"/>
      <c r="I18" s="15"/>
      <c r="J18" s="15"/>
      <c r="K18" s="22"/>
      <c r="L18" s="14"/>
      <c r="M18" s="15"/>
      <c r="N18" s="15"/>
      <c r="O18" s="15"/>
      <c r="P18" s="22"/>
      <c r="Q18" s="14"/>
      <c r="R18" s="15"/>
      <c r="S18" s="15"/>
      <c r="T18" s="15"/>
      <c r="U18" s="22"/>
      <c r="V18" s="14"/>
      <c r="W18" s="15"/>
      <c r="X18" s="15"/>
      <c r="Y18" s="15"/>
      <c r="Z18" s="22"/>
      <c r="AA18" s="90"/>
      <c r="AB18" s="15"/>
      <c r="AC18" s="15"/>
      <c r="AD18" s="15"/>
      <c r="AE18" s="22"/>
      <c r="AF18" s="118" t="str">
        <f t="shared" si="0"/>
        <v/>
      </c>
      <c r="AG18" s="119" t="str">
        <f t="shared" si="1"/>
        <v/>
      </c>
      <c r="AH18" s="144"/>
      <c r="AI18" s="145"/>
      <c r="AJ18" s="145"/>
      <c r="AK18" s="145"/>
      <c r="AL18" s="145"/>
      <c r="AM18" s="146"/>
      <c r="AN18" s="30" cm="1">
        <f t="array" ref="AN18">IF(ISNUMBER(SEARCH(REPT("A",5),
_xlfn.TEXTJOIN("",TRUE,
  IF(G18:AE18="A","A",
     IF(G16:AE16="","",
        "x"
     )
  )
))),1,0)</f>
        <v>0</v>
      </c>
    </row>
    <row r="19" spans="1:40" ht="21.9" customHeight="1" x14ac:dyDescent="0.3">
      <c r="A19" s="47" t="str">
        <f t="shared" si="2"/>
        <v/>
      </c>
      <c r="B19" s="17"/>
      <c r="C19" s="7"/>
      <c r="D19" s="7"/>
      <c r="E19" s="7"/>
      <c r="F19" s="7"/>
      <c r="G19" s="14"/>
      <c r="H19" s="15"/>
      <c r="I19" s="15"/>
      <c r="J19" s="15"/>
      <c r="K19" s="22"/>
      <c r="L19" s="14"/>
      <c r="M19" s="15"/>
      <c r="N19" s="15"/>
      <c r="O19" s="15"/>
      <c r="P19" s="22"/>
      <c r="Q19" s="14"/>
      <c r="R19" s="15"/>
      <c r="S19" s="15"/>
      <c r="T19" s="15"/>
      <c r="U19" s="22"/>
      <c r="V19" s="14"/>
      <c r="W19" s="15"/>
      <c r="X19" s="15"/>
      <c r="Y19" s="15"/>
      <c r="Z19" s="22"/>
      <c r="AA19" s="90"/>
      <c r="AB19" s="15"/>
      <c r="AC19" s="15"/>
      <c r="AD19" s="15"/>
      <c r="AE19" s="22"/>
      <c r="AF19" s="118" t="str">
        <f t="shared" si="0"/>
        <v/>
      </c>
      <c r="AG19" s="119" t="str">
        <f t="shared" si="1"/>
        <v/>
      </c>
      <c r="AH19" s="144"/>
      <c r="AI19" s="145"/>
      <c r="AJ19" s="145"/>
      <c r="AK19" s="145"/>
      <c r="AL19" s="145"/>
      <c r="AM19" s="146"/>
      <c r="AN19" s="30" cm="1">
        <f t="array" ref="AN19">IF(ISNUMBER(SEARCH(REPT("A",5),
_xlfn.TEXTJOIN("",TRUE,
  IF(G19:AE19="A","A",
     IF(G17:AE17="","",
        "x"
     )
  )
))),1,0)</f>
        <v>0</v>
      </c>
    </row>
    <row r="20" spans="1:40" ht="21.9" customHeight="1" x14ac:dyDescent="0.3">
      <c r="A20" s="47" t="str">
        <f t="shared" si="2"/>
        <v/>
      </c>
      <c r="B20" s="17"/>
      <c r="C20" s="7"/>
      <c r="D20" s="7"/>
      <c r="E20" s="7"/>
      <c r="F20" s="7"/>
      <c r="G20" s="14"/>
      <c r="H20" s="15"/>
      <c r="I20" s="15"/>
      <c r="J20" s="15"/>
      <c r="K20" s="22"/>
      <c r="L20" s="14"/>
      <c r="M20" s="15"/>
      <c r="N20" s="15"/>
      <c r="O20" s="15"/>
      <c r="P20" s="22"/>
      <c r="Q20" s="14"/>
      <c r="R20" s="15"/>
      <c r="S20" s="15"/>
      <c r="T20" s="15"/>
      <c r="U20" s="22"/>
      <c r="V20" s="14"/>
      <c r="W20" s="15"/>
      <c r="X20" s="15"/>
      <c r="Y20" s="15"/>
      <c r="Z20" s="22"/>
      <c r="AA20" s="90"/>
      <c r="AB20" s="15"/>
      <c r="AC20" s="15"/>
      <c r="AD20" s="15"/>
      <c r="AE20" s="22"/>
      <c r="AF20" s="118" t="str">
        <f t="shared" si="0"/>
        <v/>
      </c>
      <c r="AG20" s="119" t="str">
        <f t="shared" si="1"/>
        <v/>
      </c>
      <c r="AH20" s="144"/>
      <c r="AI20" s="145"/>
      <c r="AJ20" s="145"/>
      <c r="AK20" s="145"/>
      <c r="AL20" s="145"/>
      <c r="AM20" s="146"/>
      <c r="AN20" s="30" cm="1">
        <f t="array" ref="AN20">IF(ISNUMBER(SEARCH(REPT("A",5),
_xlfn.TEXTJOIN("",TRUE,
  IF(G20:AE20="A","A",
     IF(G18:AE18="","",
        "x"
     )
  )
))),1,0)</f>
        <v>0</v>
      </c>
    </row>
    <row r="21" spans="1:40" ht="21.9" customHeight="1" x14ac:dyDescent="0.3">
      <c r="A21" s="47" t="str">
        <f t="shared" si="2"/>
        <v/>
      </c>
      <c r="B21" s="17"/>
      <c r="C21" s="7"/>
      <c r="D21" s="7"/>
      <c r="E21" s="7"/>
      <c r="F21" s="7"/>
      <c r="G21" s="14"/>
      <c r="H21" s="15"/>
      <c r="I21" s="15"/>
      <c r="J21" s="15"/>
      <c r="K21" s="22"/>
      <c r="L21" s="14"/>
      <c r="M21" s="15"/>
      <c r="N21" s="15"/>
      <c r="O21" s="15"/>
      <c r="P21" s="22"/>
      <c r="Q21" s="14"/>
      <c r="R21" s="15"/>
      <c r="S21" s="15"/>
      <c r="T21" s="15"/>
      <c r="U21" s="22"/>
      <c r="V21" s="14"/>
      <c r="W21" s="15"/>
      <c r="X21" s="15"/>
      <c r="Y21" s="15"/>
      <c r="Z21" s="22"/>
      <c r="AA21" s="90"/>
      <c r="AB21" s="15"/>
      <c r="AC21" s="15"/>
      <c r="AD21" s="15"/>
      <c r="AE21" s="22"/>
      <c r="AF21" s="118" t="str">
        <f t="shared" si="0"/>
        <v/>
      </c>
      <c r="AG21" s="119" t="str">
        <f t="shared" si="1"/>
        <v/>
      </c>
      <c r="AH21" s="144"/>
      <c r="AI21" s="145"/>
      <c r="AJ21" s="145"/>
      <c r="AK21" s="145"/>
      <c r="AL21" s="145"/>
      <c r="AM21" s="146"/>
      <c r="AN21" s="30" cm="1">
        <f t="array" ref="AN21">IF(ISNUMBER(SEARCH(REPT("A",5),
_xlfn.TEXTJOIN("",TRUE,
  IF(G21:AE21="A","A",
     IF(G19:AE19="","",
        "x"
     )
  )
))),1,0)</f>
        <v>0</v>
      </c>
    </row>
    <row r="22" spans="1:40" ht="21.9" customHeight="1" x14ac:dyDescent="0.3">
      <c r="A22" s="47" t="str">
        <f t="shared" si="2"/>
        <v/>
      </c>
      <c r="B22" s="17"/>
      <c r="C22" s="7"/>
      <c r="D22" s="7"/>
      <c r="E22" s="7"/>
      <c r="F22" s="7"/>
      <c r="G22" s="14"/>
      <c r="H22" s="15"/>
      <c r="I22" s="15"/>
      <c r="J22" s="15"/>
      <c r="K22" s="22"/>
      <c r="L22" s="14"/>
      <c r="M22" s="15"/>
      <c r="N22" s="15"/>
      <c r="O22" s="15"/>
      <c r="P22" s="22"/>
      <c r="Q22" s="14"/>
      <c r="R22" s="15"/>
      <c r="S22" s="15"/>
      <c r="T22" s="15"/>
      <c r="U22" s="22"/>
      <c r="V22" s="14"/>
      <c r="W22" s="15"/>
      <c r="X22" s="15"/>
      <c r="Y22" s="15"/>
      <c r="Z22" s="22"/>
      <c r="AA22" s="90"/>
      <c r="AB22" s="15"/>
      <c r="AC22" s="15"/>
      <c r="AD22" s="15"/>
      <c r="AE22" s="22"/>
      <c r="AF22" s="118" t="str">
        <f t="shared" si="0"/>
        <v/>
      </c>
      <c r="AG22" s="119" t="str">
        <f t="shared" si="1"/>
        <v/>
      </c>
      <c r="AH22" s="144"/>
      <c r="AI22" s="145"/>
      <c r="AJ22" s="145"/>
      <c r="AK22" s="145"/>
      <c r="AL22" s="145"/>
      <c r="AM22" s="146"/>
      <c r="AN22" s="30" cm="1">
        <f t="array" ref="AN22">IF(ISNUMBER(SEARCH(REPT("A",5),
_xlfn.TEXTJOIN("",TRUE,
  IF(G22:AE22="A","A",
     IF(G20:AE20="","",
        "x"
     )
  )
))),1,0)</f>
        <v>0</v>
      </c>
    </row>
    <row r="23" spans="1:40" ht="21.9" customHeight="1" x14ac:dyDescent="0.3">
      <c r="A23" s="47" t="str">
        <f t="shared" si="2"/>
        <v/>
      </c>
      <c r="B23" s="17"/>
      <c r="C23" s="7"/>
      <c r="D23" s="7"/>
      <c r="E23" s="7"/>
      <c r="F23" s="7"/>
      <c r="G23" s="14"/>
      <c r="H23" s="15"/>
      <c r="I23" s="15"/>
      <c r="J23" s="15"/>
      <c r="K23" s="22"/>
      <c r="L23" s="14"/>
      <c r="M23" s="15"/>
      <c r="N23" s="15"/>
      <c r="O23" s="15"/>
      <c r="P23" s="22"/>
      <c r="Q23" s="14"/>
      <c r="R23" s="15"/>
      <c r="S23" s="15"/>
      <c r="T23" s="15"/>
      <c r="U23" s="22"/>
      <c r="V23" s="14"/>
      <c r="W23" s="15"/>
      <c r="X23" s="15"/>
      <c r="Y23" s="15"/>
      <c r="Z23" s="22"/>
      <c r="AA23" s="90"/>
      <c r="AB23" s="15"/>
      <c r="AC23" s="15"/>
      <c r="AD23" s="15"/>
      <c r="AE23" s="22"/>
      <c r="AF23" s="118" t="str">
        <f t="shared" si="0"/>
        <v/>
      </c>
      <c r="AG23" s="119" t="str">
        <f t="shared" si="1"/>
        <v/>
      </c>
      <c r="AH23" s="144"/>
      <c r="AI23" s="145"/>
      <c r="AJ23" s="145"/>
      <c r="AK23" s="145"/>
      <c r="AL23" s="145"/>
      <c r="AM23" s="146"/>
      <c r="AN23" s="30" cm="1">
        <f t="array" ref="AN23">IF(ISNUMBER(SEARCH(REPT("A",5),
_xlfn.TEXTJOIN("",TRUE,
  IF(G23:AE23="A","A",
     IF(G21:AE21="","",
        "x"
     )
  )
))),1,0)</f>
        <v>0</v>
      </c>
    </row>
    <row r="24" spans="1:40" ht="21.9" customHeight="1" x14ac:dyDescent="0.3">
      <c r="A24" s="47" t="str">
        <f t="shared" si="2"/>
        <v/>
      </c>
      <c r="B24" s="17"/>
      <c r="C24" s="7"/>
      <c r="D24" s="7"/>
      <c r="E24" s="7"/>
      <c r="F24" s="7"/>
      <c r="G24" s="14"/>
      <c r="H24" s="15"/>
      <c r="I24" s="15"/>
      <c r="J24" s="15"/>
      <c r="K24" s="22"/>
      <c r="L24" s="14"/>
      <c r="M24" s="15"/>
      <c r="N24" s="15"/>
      <c r="O24" s="15"/>
      <c r="P24" s="22"/>
      <c r="Q24" s="14"/>
      <c r="R24" s="15"/>
      <c r="S24" s="15"/>
      <c r="T24" s="15"/>
      <c r="U24" s="22"/>
      <c r="V24" s="14"/>
      <c r="W24" s="15"/>
      <c r="X24" s="15"/>
      <c r="Y24" s="15"/>
      <c r="Z24" s="22"/>
      <c r="AA24" s="90"/>
      <c r="AB24" s="15"/>
      <c r="AC24" s="15"/>
      <c r="AD24" s="15"/>
      <c r="AE24" s="22"/>
      <c r="AF24" s="118" t="str">
        <f t="shared" si="0"/>
        <v/>
      </c>
      <c r="AG24" s="119" t="str">
        <f t="shared" si="1"/>
        <v/>
      </c>
      <c r="AH24" s="144"/>
      <c r="AI24" s="145"/>
      <c r="AJ24" s="145"/>
      <c r="AK24" s="145"/>
      <c r="AL24" s="145"/>
      <c r="AM24" s="146"/>
      <c r="AN24" s="30" cm="1">
        <f t="array" ref="AN24">IF(ISNUMBER(SEARCH(REPT("A",5),
_xlfn.TEXTJOIN("",TRUE,
  IF(G24:AE24="A","A",
     IF(G22:AE22="","",
        "x"
     )
  )
))),1,0)</f>
        <v>0</v>
      </c>
    </row>
    <row r="25" spans="1:40" ht="21.9" customHeight="1" x14ac:dyDescent="0.3">
      <c r="A25" s="47" t="str">
        <f t="shared" si="2"/>
        <v/>
      </c>
      <c r="B25" s="17"/>
      <c r="C25" s="7"/>
      <c r="D25" s="7"/>
      <c r="E25" s="7"/>
      <c r="F25" s="7"/>
      <c r="G25" s="14"/>
      <c r="H25" s="15"/>
      <c r="I25" s="15"/>
      <c r="J25" s="15"/>
      <c r="K25" s="22"/>
      <c r="L25" s="14"/>
      <c r="M25" s="15"/>
      <c r="N25" s="15"/>
      <c r="O25" s="15"/>
      <c r="P25" s="22"/>
      <c r="Q25" s="14"/>
      <c r="R25" s="15"/>
      <c r="S25" s="15"/>
      <c r="T25" s="15"/>
      <c r="U25" s="22"/>
      <c r="V25" s="14"/>
      <c r="W25" s="15"/>
      <c r="X25" s="15"/>
      <c r="Y25" s="15"/>
      <c r="Z25" s="22"/>
      <c r="AA25" s="90"/>
      <c r="AB25" s="15"/>
      <c r="AC25" s="15"/>
      <c r="AD25" s="15"/>
      <c r="AE25" s="22"/>
      <c r="AF25" s="118" t="str">
        <f t="shared" si="0"/>
        <v/>
      </c>
      <c r="AG25" s="119" t="str">
        <f t="shared" si="1"/>
        <v/>
      </c>
      <c r="AH25" s="144"/>
      <c r="AI25" s="145"/>
      <c r="AJ25" s="145"/>
      <c r="AK25" s="145"/>
      <c r="AL25" s="145"/>
      <c r="AM25" s="146"/>
      <c r="AN25" s="30" cm="1">
        <f t="array" ref="AN25">IF(ISNUMBER(SEARCH(REPT("A",5),
_xlfn.TEXTJOIN("",TRUE,
  IF(G25:AE25="A","A",
     IF(G23:AE23="","",
        "x"
     )
  )
))),1,0)</f>
        <v>0</v>
      </c>
    </row>
    <row r="26" spans="1:40" ht="21.9" customHeight="1" x14ac:dyDescent="0.3">
      <c r="A26" s="47" t="str">
        <f t="shared" si="2"/>
        <v/>
      </c>
      <c r="B26" s="17"/>
      <c r="C26" s="7"/>
      <c r="D26" s="7"/>
      <c r="E26" s="7"/>
      <c r="F26" s="7"/>
      <c r="G26" s="14"/>
      <c r="H26" s="15"/>
      <c r="I26" s="15"/>
      <c r="J26" s="15"/>
      <c r="K26" s="22"/>
      <c r="L26" s="14"/>
      <c r="M26" s="15"/>
      <c r="N26" s="15"/>
      <c r="O26" s="15"/>
      <c r="P26" s="22"/>
      <c r="Q26" s="14"/>
      <c r="R26" s="15"/>
      <c r="S26" s="15"/>
      <c r="T26" s="15"/>
      <c r="U26" s="22"/>
      <c r="V26" s="14"/>
      <c r="W26" s="15"/>
      <c r="X26" s="15"/>
      <c r="Y26" s="15"/>
      <c r="Z26" s="22"/>
      <c r="AA26" s="90"/>
      <c r="AB26" s="15"/>
      <c r="AC26" s="15"/>
      <c r="AD26" s="15"/>
      <c r="AE26" s="22"/>
      <c r="AF26" s="118" t="str">
        <f t="shared" si="0"/>
        <v/>
      </c>
      <c r="AG26" s="119" t="str">
        <f t="shared" si="1"/>
        <v/>
      </c>
      <c r="AH26" s="144"/>
      <c r="AI26" s="145"/>
      <c r="AJ26" s="145"/>
      <c r="AK26" s="145"/>
      <c r="AL26" s="145"/>
      <c r="AM26" s="146"/>
      <c r="AN26" s="30" cm="1">
        <f t="array" ref="AN26">IF(ISNUMBER(SEARCH(REPT("A",5),
_xlfn.TEXTJOIN("",TRUE,
  IF(G26:AE26="A","A",
     IF(G24:AE24="","",
        "x"
     )
  )
))),1,0)</f>
        <v>0</v>
      </c>
    </row>
    <row r="27" spans="1:40" ht="21.9" customHeight="1" x14ac:dyDescent="0.3">
      <c r="A27" s="47" t="str">
        <f t="shared" si="2"/>
        <v/>
      </c>
      <c r="B27" s="17"/>
      <c r="C27" s="7"/>
      <c r="D27" s="7"/>
      <c r="E27" s="7"/>
      <c r="F27" s="7"/>
      <c r="G27" s="14"/>
      <c r="H27" s="15"/>
      <c r="I27" s="15"/>
      <c r="J27" s="15"/>
      <c r="K27" s="22"/>
      <c r="L27" s="14"/>
      <c r="M27" s="15"/>
      <c r="N27" s="15"/>
      <c r="O27" s="15"/>
      <c r="P27" s="22"/>
      <c r="Q27" s="14"/>
      <c r="R27" s="15"/>
      <c r="S27" s="15"/>
      <c r="T27" s="15"/>
      <c r="U27" s="22"/>
      <c r="V27" s="14"/>
      <c r="W27" s="15"/>
      <c r="X27" s="15"/>
      <c r="Y27" s="15"/>
      <c r="Z27" s="22"/>
      <c r="AA27" s="90"/>
      <c r="AB27" s="15"/>
      <c r="AC27" s="15"/>
      <c r="AD27" s="15"/>
      <c r="AE27" s="22"/>
      <c r="AF27" s="118" t="str">
        <f t="shared" si="0"/>
        <v/>
      </c>
      <c r="AG27" s="119" t="str">
        <f t="shared" si="1"/>
        <v/>
      </c>
      <c r="AH27" s="144"/>
      <c r="AI27" s="145"/>
      <c r="AJ27" s="145"/>
      <c r="AK27" s="145"/>
      <c r="AL27" s="145"/>
      <c r="AM27" s="146"/>
      <c r="AN27" s="30" cm="1">
        <f t="array" ref="AN27">IF(ISNUMBER(SEARCH(REPT("A",5),
_xlfn.TEXTJOIN("",TRUE,
  IF(G27:AE27="A","A",
     IF(G25:AE25="","",
        "x"
     )
  )
))),1,0)</f>
        <v>0</v>
      </c>
    </row>
    <row r="28" spans="1:40" ht="21.9" customHeight="1" x14ac:dyDescent="0.3">
      <c r="A28" s="47" t="str">
        <f t="shared" si="2"/>
        <v/>
      </c>
      <c r="B28" s="17"/>
      <c r="C28" s="7"/>
      <c r="D28" s="7"/>
      <c r="E28" s="7"/>
      <c r="F28" s="7"/>
      <c r="G28" s="14"/>
      <c r="H28" s="15"/>
      <c r="I28" s="15"/>
      <c r="J28" s="15"/>
      <c r="K28" s="22"/>
      <c r="L28" s="14"/>
      <c r="M28" s="15"/>
      <c r="N28" s="15"/>
      <c r="O28" s="15"/>
      <c r="P28" s="22"/>
      <c r="Q28" s="14"/>
      <c r="R28" s="15"/>
      <c r="S28" s="15"/>
      <c r="T28" s="15"/>
      <c r="U28" s="22"/>
      <c r="V28" s="14"/>
      <c r="W28" s="15"/>
      <c r="X28" s="15"/>
      <c r="Y28" s="15"/>
      <c r="Z28" s="22"/>
      <c r="AA28" s="90"/>
      <c r="AB28" s="15"/>
      <c r="AC28" s="15"/>
      <c r="AD28" s="15"/>
      <c r="AE28" s="22"/>
      <c r="AF28" s="118" t="str">
        <f t="shared" si="0"/>
        <v/>
      </c>
      <c r="AG28" s="119" t="str">
        <f t="shared" si="1"/>
        <v/>
      </c>
      <c r="AH28" s="144"/>
      <c r="AI28" s="145"/>
      <c r="AJ28" s="145"/>
      <c r="AK28" s="145"/>
      <c r="AL28" s="145"/>
      <c r="AM28" s="146"/>
      <c r="AN28" s="30" cm="1">
        <f t="array" ref="AN28">IF(ISNUMBER(SEARCH(REPT("A",5),
_xlfn.TEXTJOIN("",TRUE,
  IF(G28:AE28="A","A",
     IF(G26:AE26="","",
        "x"
     )
  )
))),1,0)</f>
        <v>0</v>
      </c>
    </row>
    <row r="29" spans="1:40" ht="21.9" customHeight="1" x14ac:dyDescent="0.3">
      <c r="A29" s="47" t="str">
        <f t="shared" si="2"/>
        <v/>
      </c>
      <c r="B29" s="17"/>
      <c r="C29" s="7"/>
      <c r="D29" s="7"/>
      <c r="E29" s="7"/>
      <c r="F29" s="7"/>
      <c r="G29" s="14"/>
      <c r="H29" s="15"/>
      <c r="I29" s="15"/>
      <c r="J29" s="15"/>
      <c r="K29" s="22"/>
      <c r="L29" s="14"/>
      <c r="M29" s="15"/>
      <c r="N29" s="15"/>
      <c r="O29" s="15"/>
      <c r="P29" s="22"/>
      <c r="Q29" s="14"/>
      <c r="R29" s="15"/>
      <c r="S29" s="15"/>
      <c r="T29" s="15"/>
      <c r="U29" s="22"/>
      <c r="V29" s="14"/>
      <c r="W29" s="15"/>
      <c r="X29" s="15"/>
      <c r="Y29" s="15"/>
      <c r="Z29" s="22"/>
      <c r="AA29" s="90"/>
      <c r="AB29" s="15"/>
      <c r="AC29" s="15"/>
      <c r="AD29" s="15"/>
      <c r="AE29" s="22"/>
      <c r="AF29" s="118" t="str">
        <f t="shared" si="0"/>
        <v/>
      </c>
      <c r="AG29" s="119" t="str">
        <f t="shared" si="1"/>
        <v/>
      </c>
      <c r="AH29" s="144"/>
      <c r="AI29" s="145"/>
      <c r="AJ29" s="145"/>
      <c r="AK29" s="145"/>
      <c r="AL29" s="145"/>
      <c r="AM29" s="146"/>
      <c r="AN29" s="30" cm="1">
        <f t="array" ref="AN29">IF(ISNUMBER(SEARCH(REPT("A",5),
_xlfn.TEXTJOIN("",TRUE,
  IF(G29:AE29="A","A",
     IF(G27:AE27="","",
        "x"
     )
  )
))),1,0)</f>
        <v>0</v>
      </c>
    </row>
    <row r="30" spans="1:40" ht="21.9" customHeight="1" x14ac:dyDescent="0.3">
      <c r="A30" s="47" t="str">
        <f t="shared" si="2"/>
        <v/>
      </c>
      <c r="B30" s="17"/>
      <c r="C30" s="7"/>
      <c r="D30" s="7"/>
      <c r="E30" s="7"/>
      <c r="F30" s="7"/>
      <c r="G30" s="14"/>
      <c r="H30" s="15"/>
      <c r="I30" s="15"/>
      <c r="J30" s="15"/>
      <c r="K30" s="22"/>
      <c r="L30" s="14"/>
      <c r="M30" s="15"/>
      <c r="N30" s="15"/>
      <c r="O30" s="15"/>
      <c r="P30" s="22"/>
      <c r="Q30" s="14"/>
      <c r="R30" s="15"/>
      <c r="S30" s="15"/>
      <c r="T30" s="15"/>
      <c r="U30" s="22"/>
      <c r="V30" s="14"/>
      <c r="W30" s="15"/>
      <c r="X30" s="15"/>
      <c r="Y30" s="15"/>
      <c r="Z30" s="22"/>
      <c r="AA30" s="90"/>
      <c r="AB30" s="15"/>
      <c r="AC30" s="15"/>
      <c r="AD30" s="15"/>
      <c r="AE30" s="22"/>
      <c r="AF30" s="118" t="str">
        <f t="shared" si="0"/>
        <v/>
      </c>
      <c r="AG30" s="119" t="str">
        <f t="shared" si="1"/>
        <v/>
      </c>
      <c r="AH30" s="144"/>
      <c r="AI30" s="145"/>
      <c r="AJ30" s="145"/>
      <c r="AK30" s="145"/>
      <c r="AL30" s="145"/>
      <c r="AM30" s="146"/>
      <c r="AN30" s="30" cm="1">
        <f t="array" ref="AN30">IF(ISNUMBER(SEARCH(REPT("A",5),
_xlfn.TEXTJOIN("",TRUE,
  IF(G30:AE30="A","A",
     IF(G28:AE28="","",
        "x"
     )
  )
))),1,0)</f>
        <v>0</v>
      </c>
    </row>
    <row r="31" spans="1:40" ht="21.9" customHeight="1" x14ac:dyDescent="0.3">
      <c r="A31" s="47" t="str">
        <f t="shared" si="2"/>
        <v/>
      </c>
      <c r="B31" s="17"/>
      <c r="C31" s="7"/>
      <c r="D31" s="7"/>
      <c r="E31" s="7"/>
      <c r="F31" s="7"/>
      <c r="G31" s="14"/>
      <c r="H31" s="15"/>
      <c r="I31" s="15"/>
      <c r="J31" s="15"/>
      <c r="K31" s="22"/>
      <c r="L31" s="14"/>
      <c r="M31" s="15"/>
      <c r="N31" s="15"/>
      <c r="O31" s="15"/>
      <c r="P31" s="22"/>
      <c r="Q31" s="14"/>
      <c r="R31" s="15"/>
      <c r="S31" s="15"/>
      <c r="T31" s="15"/>
      <c r="U31" s="22"/>
      <c r="V31" s="14"/>
      <c r="W31" s="15"/>
      <c r="X31" s="15"/>
      <c r="Y31" s="15"/>
      <c r="Z31" s="22"/>
      <c r="AA31" s="90"/>
      <c r="AB31" s="15"/>
      <c r="AC31" s="15"/>
      <c r="AD31" s="15"/>
      <c r="AE31" s="22"/>
      <c r="AF31" s="118" t="str">
        <f t="shared" si="0"/>
        <v/>
      </c>
      <c r="AG31" s="119" t="str">
        <f t="shared" si="1"/>
        <v/>
      </c>
      <c r="AH31" s="144"/>
      <c r="AI31" s="145"/>
      <c r="AJ31" s="145"/>
      <c r="AK31" s="145"/>
      <c r="AL31" s="145"/>
      <c r="AM31" s="146"/>
      <c r="AN31" s="30" cm="1">
        <f t="array" ref="AN31">IF(ISNUMBER(SEARCH(REPT("A",5),
_xlfn.TEXTJOIN("",TRUE,
  IF(G31:AE31="A","A",
     IF(G29:AE29="","",
        "x"
     )
  )
))),1,0)</f>
        <v>0</v>
      </c>
    </row>
    <row r="32" spans="1:40" ht="21.9" customHeight="1" x14ac:dyDescent="0.3">
      <c r="A32" s="47" t="str">
        <f t="shared" si="2"/>
        <v/>
      </c>
      <c r="B32" s="17"/>
      <c r="C32" s="7"/>
      <c r="D32" s="7"/>
      <c r="E32" s="7"/>
      <c r="F32" s="7"/>
      <c r="G32" s="14"/>
      <c r="H32" s="15"/>
      <c r="I32" s="15"/>
      <c r="J32" s="15"/>
      <c r="K32" s="22"/>
      <c r="L32" s="14"/>
      <c r="M32" s="15"/>
      <c r="N32" s="15"/>
      <c r="O32" s="15"/>
      <c r="P32" s="22"/>
      <c r="Q32" s="14"/>
      <c r="R32" s="15"/>
      <c r="S32" s="15"/>
      <c r="T32" s="15"/>
      <c r="U32" s="22"/>
      <c r="V32" s="14"/>
      <c r="W32" s="15"/>
      <c r="X32" s="15"/>
      <c r="Y32" s="15"/>
      <c r="Z32" s="22"/>
      <c r="AA32" s="90"/>
      <c r="AB32" s="15"/>
      <c r="AC32" s="15"/>
      <c r="AD32" s="15"/>
      <c r="AE32" s="22"/>
      <c r="AF32" s="118" t="str">
        <f t="shared" si="0"/>
        <v/>
      </c>
      <c r="AG32" s="119" t="str">
        <f t="shared" si="1"/>
        <v/>
      </c>
      <c r="AH32" s="144"/>
      <c r="AI32" s="145"/>
      <c r="AJ32" s="145"/>
      <c r="AK32" s="145"/>
      <c r="AL32" s="145"/>
      <c r="AM32" s="146"/>
      <c r="AN32" s="30" cm="1">
        <f t="array" ref="AN32">IF(ISNUMBER(SEARCH(REPT("A",5),
_xlfn.TEXTJOIN("",TRUE,
  IF(G32:AE32="A","A",
     IF(G30:AE30="","",
        "x"
     )
  )
))),1,0)</f>
        <v>0</v>
      </c>
    </row>
    <row r="33" spans="1:40" ht="21.9" customHeight="1" x14ac:dyDescent="0.3">
      <c r="A33" s="47" t="str">
        <f t="shared" si="2"/>
        <v/>
      </c>
      <c r="B33" s="17"/>
      <c r="C33" s="7"/>
      <c r="D33" s="7"/>
      <c r="E33" s="7"/>
      <c r="F33" s="7"/>
      <c r="G33" s="14"/>
      <c r="H33" s="15"/>
      <c r="I33" s="15"/>
      <c r="J33" s="15"/>
      <c r="K33" s="22"/>
      <c r="L33" s="14"/>
      <c r="M33" s="15"/>
      <c r="N33" s="15"/>
      <c r="O33" s="15"/>
      <c r="P33" s="22"/>
      <c r="Q33" s="14"/>
      <c r="R33" s="15"/>
      <c r="S33" s="15"/>
      <c r="T33" s="15"/>
      <c r="U33" s="22"/>
      <c r="V33" s="14"/>
      <c r="W33" s="15"/>
      <c r="X33" s="15"/>
      <c r="Y33" s="15"/>
      <c r="Z33" s="22"/>
      <c r="AA33" s="90"/>
      <c r="AB33" s="15"/>
      <c r="AC33" s="15"/>
      <c r="AD33" s="15"/>
      <c r="AE33" s="22"/>
      <c r="AF33" s="118" t="str">
        <f t="shared" si="0"/>
        <v/>
      </c>
      <c r="AG33" s="119" t="str">
        <f t="shared" si="1"/>
        <v/>
      </c>
      <c r="AH33" s="144"/>
      <c r="AI33" s="145"/>
      <c r="AJ33" s="145"/>
      <c r="AK33" s="145"/>
      <c r="AL33" s="145"/>
      <c r="AM33" s="146"/>
      <c r="AN33" s="30" cm="1">
        <f t="array" ref="AN33">IF(ISNUMBER(SEARCH(REPT("A",5),
_xlfn.TEXTJOIN("",TRUE,
  IF(G33:AE33="A","A",
     IF(G31:AE31="","",
        "x"
     )
  )
))),1,0)</f>
        <v>0</v>
      </c>
    </row>
    <row r="34" spans="1:40" ht="21.9" customHeight="1" x14ac:dyDescent="0.3">
      <c r="A34" s="47" t="str">
        <f t="shared" si="2"/>
        <v/>
      </c>
      <c r="B34" s="17"/>
      <c r="C34" s="7"/>
      <c r="D34" s="7"/>
      <c r="E34" s="7"/>
      <c r="F34" s="7"/>
      <c r="G34" s="14"/>
      <c r="H34" s="15"/>
      <c r="I34" s="15"/>
      <c r="J34" s="15"/>
      <c r="K34" s="22"/>
      <c r="L34" s="14"/>
      <c r="M34" s="15"/>
      <c r="N34" s="15"/>
      <c r="O34" s="15"/>
      <c r="P34" s="22"/>
      <c r="Q34" s="14"/>
      <c r="R34" s="15"/>
      <c r="S34" s="15"/>
      <c r="T34" s="15"/>
      <c r="U34" s="22"/>
      <c r="V34" s="14"/>
      <c r="W34" s="15"/>
      <c r="X34" s="15"/>
      <c r="Y34" s="15"/>
      <c r="Z34" s="22"/>
      <c r="AA34" s="90"/>
      <c r="AB34" s="15"/>
      <c r="AC34" s="15"/>
      <c r="AD34" s="15"/>
      <c r="AE34" s="22"/>
      <c r="AF34" s="118" t="str">
        <f t="shared" si="0"/>
        <v/>
      </c>
      <c r="AG34" s="119" t="str">
        <f t="shared" si="1"/>
        <v/>
      </c>
      <c r="AH34" s="144"/>
      <c r="AI34" s="145"/>
      <c r="AJ34" s="145"/>
      <c r="AK34" s="145"/>
      <c r="AL34" s="145"/>
      <c r="AM34" s="146"/>
      <c r="AN34" s="30" cm="1">
        <f t="array" ref="AN34">IF(ISNUMBER(SEARCH(REPT("A",5),
_xlfn.TEXTJOIN("",TRUE,
  IF(G34:AE34="A","A",
     IF(G32:AE32="","",
        "x"
     )
  )
))),1,0)</f>
        <v>0</v>
      </c>
    </row>
    <row r="35" spans="1:40" ht="21.9" customHeight="1" x14ac:dyDescent="0.3">
      <c r="A35" s="47" t="str">
        <f t="shared" si="2"/>
        <v/>
      </c>
      <c r="B35" s="17"/>
      <c r="C35" s="9"/>
      <c r="D35" s="9"/>
      <c r="E35" s="9"/>
      <c r="F35" s="9"/>
      <c r="G35" s="14"/>
      <c r="H35" s="15"/>
      <c r="I35" s="15"/>
      <c r="J35" s="15"/>
      <c r="K35" s="22"/>
      <c r="L35" s="14"/>
      <c r="M35" s="15"/>
      <c r="N35" s="15"/>
      <c r="O35" s="15"/>
      <c r="P35" s="22"/>
      <c r="Q35" s="14"/>
      <c r="R35" s="15"/>
      <c r="S35" s="15"/>
      <c r="T35" s="15"/>
      <c r="U35" s="22"/>
      <c r="V35" s="14"/>
      <c r="W35" s="15"/>
      <c r="X35" s="15"/>
      <c r="Y35" s="15"/>
      <c r="Z35" s="22"/>
      <c r="AA35" s="90"/>
      <c r="AB35" s="15"/>
      <c r="AC35" s="15"/>
      <c r="AD35" s="15"/>
      <c r="AE35" s="22"/>
      <c r="AF35" s="118" t="str">
        <f t="shared" si="0"/>
        <v/>
      </c>
      <c r="AG35" s="119" t="str">
        <f t="shared" si="1"/>
        <v/>
      </c>
      <c r="AH35" s="144"/>
      <c r="AI35" s="145"/>
      <c r="AJ35" s="145"/>
      <c r="AK35" s="145"/>
      <c r="AL35" s="145"/>
      <c r="AM35" s="146"/>
      <c r="AN35" s="30" cm="1">
        <f t="array" ref="AN35">IF(ISNUMBER(SEARCH(REPT("A",5),
_xlfn.TEXTJOIN("",TRUE,
  IF(G35:AE35="A","A",
     IF(G33:AE33="","",
        "x"
     )
  )
))),1,0)</f>
        <v>0</v>
      </c>
    </row>
    <row r="36" spans="1:40" ht="21.9" customHeight="1" x14ac:dyDescent="0.3">
      <c r="A36" s="47" t="str">
        <f t="shared" si="2"/>
        <v/>
      </c>
      <c r="B36" s="17"/>
      <c r="C36" s="9"/>
      <c r="D36" s="9"/>
      <c r="E36" s="9"/>
      <c r="F36" s="9"/>
      <c r="G36" s="14"/>
      <c r="H36" s="15"/>
      <c r="I36" s="15"/>
      <c r="J36" s="15"/>
      <c r="K36" s="22"/>
      <c r="L36" s="14"/>
      <c r="M36" s="15"/>
      <c r="N36" s="15"/>
      <c r="O36" s="15"/>
      <c r="P36" s="22"/>
      <c r="Q36" s="14"/>
      <c r="R36" s="15"/>
      <c r="S36" s="15"/>
      <c r="T36" s="15"/>
      <c r="U36" s="22"/>
      <c r="V36" s="14"/>
      <c r="W36" s="15"/>
      <c r="X36" s="15"/>
      <c r="Y36" s="15"/>
      <c r="Z36" s="22"/>
      <c r="AA36" s="90"/>
      <c r="AB36" s="15"/>
      <c r="AC36" s="15"/>
      <c r="AD36" s="15"/>
      <c r="AE36" s="22"/>
      <c r="AF36" s="118" t="str">
        <f t="shared" si="0"/>
        <v/>
      </c>
      <c r="AG36" s="119" t="str">
        <f t="shared" si="1"/>
        <v/>
      </c>
      <c r="AH36" s="144"/>
      <c r="AI36" s="145"/>
      <c r="AJ36" s="145"/>
      <c r="AK36" s="145"/>
      <c r="AL36" s="145"/>
      <c r="AM36" s="146"/>
      <c r="AN36" s="30" cm="1">
        <f t="array" ref="AN36">IF(ISNUMBER(SEARCH(REPT("A",5),
_xlfn.TEXTJOIN("",TRUE,
  IF(G36:AE36="A","A",
     IF(G34:AE34="","",
        "x"
     )
  )
))),1,0)</f>
        <v>0</v>
      </c>
    </row>
    <row r="37" spans="1:40" ht="21.9" customHeight="1" x14ac:dyDescent="0.3">
      <c r="A37" s="47" t="str">
        <f t="shared" si="2"/>
        <v/>
      </c>
      <c r="B37" s="17"/>
      <c r="C37" s="9"/>
      <c r="D37" s="9"/>
      <c r="E37" s="9"/>
      <c r="F37" s="9"/>
      <c r="G37" s="14"/>
      <c r="H37" s="15"/>
      <c r="I37" s="15"/>
      <c r="J37" s="15"/>
      <c r="K37" s="22"/>
      <c r="L37" s="14"/>
      <c r="M37" s="15"/>
      <c r="N37" s="15"/>
      <c r="O37" s="15"/>
      <c r="P37" s="22"/>
      <c r="Q37" s="14"/>
      <c r="R37" s="15"/>
      <c r="S37" s="15"/>
      <c r="T37" s="15"/>
      <c r="U37" s="22"/>
      <c r="V37" s="14"/>
      <c r="W37" s="15"/>
      <c r="X37" s="15"/>
      <c r="Y37" s="15"/>
      <c r="Z37" s="22"/>
      <c r="AA37" s="90"/>
      <c r="AB37" s="15"/>
      <c r="AC37" s="15"/>
      <c r="AD37" s="15"/>
      <c r="AE37" s="22"/>
      <c r="AF37" s="118" t="str">
        <f t="shared" si="0"/>
        <v/>
      </c>
      <c r="AG37" s="119" t="str">
        <f t="shared" si="1"/>
        <v/>
      </c>
      <c r="AH37" s="8"/>
      <c r="AI37" s="9"/>
      <c r="AJ37" s="9"/>
      <c r="AK37" s="9"/>
      <c r="AL37" s="9"/>
      <c r="AM37" s="10"/>
      <c r="AN37" s="30" cm="1">
        <f t="array" ref="AN37">IF(ISNUMBER(SEARCH(REPT("A",5),
_xlfn.TEXTJOIN("",TRUE,
  IF(G37:AE37="A","A",
     IF(G35:AE35="","",
        "x"
     )
  )
))),1,0)</f>
        <v>0</v>
      </c>
    </row>
    <row r="38" spans="1:40" ht="21.9" customHeight="1" x14ac:dyDescent="0.3">
      <c r="A38" s="47" t="str">
        <f t="shared" si="2"/>
        <v/>
      </c>
      <c r="B38" s="17"/>
      <c r="C38" s="9"/>
      <c r="D38" s="9"/>
      <c r="E38" s="9"/>
      <c r="F38" s="9"/>
      <c r="G38" s="14"/>
      <c r="H38" s="15"/>
      <c r="I38" s="15"/>
      <c r="J38" s="15"/>
      <c r="K38" s="22"/>
      <c r="L38" s="14"/>
      <c r="M38" s="15"/>
      <c r="N38" s="15"/>
      <c r="O38" s="15"/>
      <c r="P38" s="22"/>
      <c r="Q38" s="14"/>
      <c r="R38" s="15"/>
      <c r="S38" s="15"/>
      <c r="T38" s="15"/>
      <c r="U38" s="22"/>
      <c r="V38" s="14"/>
      <c r="W38" s="15"/>
      <c r="X38" s="15"/>
      <c r="Y38" s="15"/>
      <c r="Z38" s="22"/>
      <c r="AA38" s="90"/>
      <c r="AB38" s="15"/>
      <c r="AC38" s="15"/>
      <c r="AD38" s="15"/>
      <c r="AE38" s="22"/>
      <c r="AF38" s="118" t="str">
        <f t="shared" si="0"/>
        <v/>
      </c>
      <c r="AG38" s="119" t="str">
        <f t="shared" si="1"/>
        <v/>
      </c>
      <c r="AH38" s="8"/>
      <c r="AI38" s="9"/>
      <c r="AJ38" s="9"/>
      <c r="AK38" s="9"/>
      <c r="AL38" s="9"/>
      <c r="AM38" s="10"/>
      <c r="AN38" s="30" cm="1">
        <f t="array" ref="AN38">IF(ISNUMBER(SEARCH(REPT("A",5),
_xlfn.TEXTJOIN("",TRUE,
  IF(G38:AE38="A","A",
     IF(G36:AE36="","",
        "x"
     )
  )
))),1,0)</f>
        <v>0</v>
      </c>
    </row>
    <row r="39" spans="1:40" ht="21.9" customHeight="1" x14ac:dyDescent="0.3">
      <c r="A39" s="47" t="str">
        <f t="shared" si="2"/>
        <v/>
      </c>
      <c r="B39" s="17"/>
      <c r="C39" s="9"/>
      <c r="D39" s="9"/>
      <c r="E39" s="9"/>
      <c r="F39" s="9"/>
      <c r="G39" s="14"/>
      <c r="H39" s="15"/>
      <c r="I39" s="15"/>
      <c r="J39" s="15"/>
      <c r="K39" s="22"/>
      <c r="L39" s="14"/>
      <c r="M39" s="15"/>
      <c r="N39" s="15"/>
      <c r="O39" s="15"/>
      <c r="P39" s="22"/>
      <c r="Q39" s="14"/>
      <c r="R39" s="15"/>
      <c r="S39" s="15"/>
      <c r="T39" s="15"/>
      <c r="U39" s="22"/>
      <c r="V39" s="14"/>
      <c r="W39" s="15"/>
      <c r="X39" s="15"/>
      <c r="Y39" s="15"/>
      <c r="Z39" s="22"/>
      <c r="AA39" s="90"/>
      <c r="AB39" s="15"/>
      <c r="AC39" s="15"/>
      <c r="AD39" s="15"/>
      <c r="AE39" s="22"/>
      <c r="AF39" s="118" t="str">
        <f t="shared" si="0"/>
        <v/>
      </c>
      <c r="AG39" s="119" t="str">
        <f t="shared" si="1"/>
        <v/>
      </c>
      <c r="AH39" s="8"/>
      <c r="AI39" s="9"/>
      <c r="AJ39" s="9"/>
      <c r="AK39" s="9"/>
      <c r="AL39" s="9"/>
      <c r="AM39" s="10"/>
      <c r="AN39" s="30" cm="1">
        <f t="array" ref="AN39">IF(ISNUMBER(SEARCH(REPT("A",5),
_xlfn.TEXTJOIN("",TRUE,
  IF(G39:AE39="A","A",
     IF(G37:AE37="","",
        "x"
     )
  )
))),1,0)</f>
        <v>0</v>
      </c>
    </row>
    <row r="40" spans="1:40" ht="21.9" customHeight="1" x14ac:dyDescent="0.3">
      <c r="A40" s="47" t="str">
        <f t="shared" si="2"/>
        <v/>
      </c>
      <c r="B40" s="17"/>
      <c r="C40" s="9"/>
      <c r="D40" s="9"/>
      <c r="E40" s="9"/>
      <c r="F40" s="9"/>
      <c r="G40" s="14"/>
      <c r="H40" s="15"/>
      <c r="I40" s="15"/>
      <c r="J40" s="15"/>
      <c r="K40" s="22"/>
      <c r="L40" s="14"/>
      <c r="M40" s="15"/>
      <c r="N40" s="15"/>
      <c r="O40" s="15"/>
      <c r="P40" s="22"/>
      <c r="Q40" s="14"/>
      <c r="R40" s="15"/>
      <c r="S40" s="15"/>
      <c r="T40" s="15"/>
      <c r="U40" s="22"/>
      <c r="V40" s="14"/>
      <c r="W40" s="15"/>
      <c r="X40" s="15"/>
      <c r="Y40" s="15"/>
      <c r="Z40" s="22"/>
      <c r="AA40" s="90"/>
      <c r="AB40" s="15"/>
      <c r="AC40" s="15"/>
      <c r="AD40" s="15"/>
      <c r="AE40" s="22"/>
      <c r="AF40" s="118" t="str">
        <f t="shared" si="0"/>
        <v/>
      </c>
      <c r="AG40" s="119" t="str">
        <f t="shared" si="1"/>
        <v/>
      </c>
      <c r="AH40" s="8"/>
      <c r="AI40" s="9"/>
      <c r="AJ40" s="9"/>
      <c r="AK40" s="9"/>
      <c r="AL40" s="9"/>
      <c r="AM40" s="10"/>
      <c r="AN40" s="30" cm="1">
        <f t="array" ref="AN40">IF(ISNUMBER(SEARCH(REPT("A",5),
_xlfn.TEXTJOIN("",TRUE,
  IF(G40:AE40="A","A",
     IF(G38:AE38="","",
        "x"
     )
  )
))),1,0)</f>
        <v>0</v>
      </c>
    </row>
    <row r="41" spans="1:40" ht="21.9" customHeight="1" x14ac:dyDescent="0.3">
      <c r="A41" s="47" t="str">
        <f t="shared" si="2"/>
        <v/>
      </c>
      <c r="B41" s="17"/>
      <c r="C41" s="9"/>
      <c r="D41" s="9"/>
      <c r="E41" s="9"/>
      <c r="F41" s="9"/>
      <c r="G41" s="14"/>
      <c r="H41" s="15"/>
      <c r="I41" s="15"/>
      <c r="J41" s="15"/>
      <c r="K41" s="22"/>
      <c r="L41" s="14"/>
      <c r="M41" s="15"/>
      <c r="N41" s="15"/>
      <c r="O41" s="15"/>
      <c r="P41" s="22"/>
      <c r="Q41" s="14"/>
      <c r="R41" s="15"/>
      <c r="S41" s="15"/>
      <c r="T41" s="15"/>
      <c r="U41" s="22"/>
      <c r="V41" s="14"/>
      <c r="W41" s="15"/>
      <c r="X41" s="15"/>
      <c r="Y41" s="15"/>
      <c r="Z41" s="22"/>
      <c r="AA41" s="90"/>
      <c r="AB41" s="15"/>
      <c r="AC41" s="15"/>
      <c r="AD41" s="15"/>
      <c r="AE41" s="22"/>
      <c r="AF41" s="118" t="str">
        <f t="shared" si="0"/>
        <v/>
      </c>
      <c r="AG41" s="119" t="str">
        <f t="shared" si="1"/>
        <v/>
      </c>
      <c r="AH41" s="8"/>
      <c r="AI41" s="9"/>
      <c r="AJ41" s="9"/>
      <c r="AK41" s="9"/>
      <c r="AL41" s="9"/>
      <c r="AM41" s="10"/>
      <c r="AN41" s="30" cm="1">
        <f t="array" ref="AN41">IF(ISNUMBER(SEARCH(REPT("A",5),
_xlfn.TEXTJOIN("",TRUE,
  IF(G41:AE41="A","A",
     IF(G39:AE39="","",
        "x"
     )
  )
))),1,0)</f>
        <v>0</v>
      </c>
    </row>
    <row r="42" spans="1:40" ht="21.9" customHeight="1" x14ac:dyDescent="0.3">
      <c r="A42" s="47" t="str">
        <f t="shared" si="2"/>
        <v/>
      </c>
      <c r="B42" s="17"/>
      <c r="C42" s="9"/>
      <c r="D42" s="9"/>
      <c r="E42" s="9"/>
      <c r="F42" s="9"/>
      <c r="G42" s="14"/>
      <c r="H42" s="15"/>
      <c r="I42" s="15"/>
      <c r="J42" s="15"/>
      <c r="K42" s="22"/>
      <c r="L42" s="14"/>
      <c r="M42" s="15"/>
      <c r="N42" s="15"/>
      <c r="O42" s="15"/>
      <c r="P42" s="22"/>
      <c r="Q42" s="14"/>
      <c r="R42" s="15"/>
      <c r="S42" s="15"/>
      <c r="T42" s="15"/>
      <c r="U42" s="22"/>
      <c r="V42" s="14"/>
      <c r="W42" s="15"/>
      <c r="X42" s="15"/>
      <c r="Y42" s="15"/>
      <c r="Z42" s="22"/>
      <c r="AA42" s="90"/>
      <c r="AB42" s="15"/>
      <c r="AC42" s="15"/>
      <c r="AD42" s="15"/>
      <c r="AE42" s="22"/>
      <c r="AF42" s="118" t="str">
        <f t="shared" si="0"/>
        <v/>
      </c>
      <c r="AG42" s="119" t="str">
        <f t="shared" si="1"/>
        <v/>
      </c>
      <c r="AH42" s="8"/>
      <c r="AI42" s="9"/>
      <c r="AJ42" s="9"/>
      <c r="AK42" s="9"/>
      <c r="AL42" s="9"/>
      <c r="AM42" s="10"/>
      <c r="AN42" s="30" cm="1">
        <f t="array" ref="AN42">IF(ISNUMBER(SEARCH(REPT("A",5),
_xlfn.TEXTJOIN("",TRUE,
  IF(G42:AE42="A","A",
     IF(G40:AE40="","",
        "x"
     )
  )
))),1,0)</f>
        <v>0</v>
      </c>
    </row>
    <row r="43" spans="1:40" ht="21.9" customHeight="1" x14ac:dyDescent="0.3">
      <c r="A43" s="47" t="str">
        <f t="shared" si="2"/>
        <v/>
      </c>
      <c r="B43" s="17"/>
      <c r="C43" s="9"/>
      <c r="D43" s="9"/>
      <c r="E43" s="9"/>
      <c r="F43" s="9"/>
      <c r="G43" s="14"/>
      <c r="H43" s="15"/>
      <c r="I43" s="15"/>
      <c r="J43" s="15"/>
      <c r="K43" s="22"/>
      <c r="L43" s="14"/>
      <c r="M43" s="15"/>
      <c r="N43" s="15"/>
      <c r="O43" s="15"/>
      <c r="P43" s="22"/>
      <c r="Q43" s="14"/>
      <c r="R43" s="15"/>
      <c r="S43" s="15"/>
      <c r="T43" s="15"/>
      <c r="U43" s="22"/>
      <c r="V43" s="14"/>
      <c r="W43" s="15"/>
      <c r="X43" s="15"/>
      <c r="Y43" s="15"/>
      <c r="Z43" s="22"/>
      <c r="AA43" s="90"/>
      <c r="AB43" s="15"/>
      <c r="AC43" s="15"/>
      <c r="AD43" s="15"/>
      <c r="AE43" s="22"/>
      <c r="AF43" s="118" t="str">
        <f t="shared" si="0"/>
        <v/>
      </c>
      <c r="AG43" s="119" t="str">
        <f t="shared" si="1"/>
        <v/>
      </c>
      <c r="AH43" s="8"/>
      <c r="AI43" s="9"/>
      <c r="AJ43" s="9"/>
      <c r="AK43" s="9"/>
      <c r="AL43" s="9"/>
      <c r="AM43" s="10"/>
      <c r="AN43" s="30" cm="1">
        <f t="array" ref="AN43">IF(ISNUMBER(SEARCH(REPT("A",5),
_xlfn.TEXTJOIN("",TRUE,
  IF(G43:AE43="A","A",
     IF(G41:AE41="","",
        "x"
     )
  )
))),1,0)</f>
        <v>0</v>
      </c>
    </row>
    <row r="44" spans="1:40" ht="21.9" customHeight="1" x14ac:dyDescent="0.3">
      <c r="A44" s="47" t="str">
        <f t="shared" si="2"/>
        <v/>
      </c>
      <c r="B44" s="17"/>
      <c r="C44" s="9"/>
      <c r="D44" s="9"/>
      <c r="E44" s="9"/>
      <c r="F44" s="9"/>
      <c r="G44" s="14"/>
      <c r="H44" s="15"/>
      <c r="I44" s="15"/>
      <c r="J44" s="15"/>
      <c r="K44" s="22"/>
      <c r="L44" s="14"/>
      <c r="M44" s="15"/>
      <c r="N44" s="15"/>
      <c r="O44" s="15"/>
      <c r="P44" s="22"/>
      <c r="Q44" s="14"/>
      <c r="R44" s="15"/>
      <c r="S44" s="15"/>
      <c r="T44" s="15"/>
      <c r="U44" s="22"/>
      <c r="V44" s="14"/>
      <c r="W44" s="15"/>
      <c r="X44" s="15"/>
      <c r="Y44" s="15"/>
      <c r="Z44" s="22"/>
      <c r="AA44" s="90"/>
      <c r="AB44" s="15"/>
      <c r="AC44" s="15"/>
      <c r="AD44" s="15"/>
      <c r="AE44" s="22"/>
      <c r="AF44" s="118" t="str">
        <f t="shared" si="0"/>
        <v/>
      </c>
      <c r="AG44" s="119" t="str">
        <f t="shared" si="1"/>
        <v/>
      </c>
      <c r="AH44" s="8"/>
      <c r="AI44" s="9"/>
      <c r="AJ44" s="9"/>
      <c r="AK44" s="9"/>
      <c r="AL44" s="9"/>
      <c r="AM44" s="10"/>
      <c r="AN44" s="30" cm="1">
        <f t="array" ref="AN44">IF(ISNUMBER(SEARCH(REPT("A",5),
_xlfn.TEXTJOIN("",TRUE,
  IF(G44:AE44="A","A",
     IF(G42:AE42="","",
        "x"
     )
  )
))),1,0)</f>
        <v>0</v>
      </c>
    </row>
    <row r="45" spans="1:40" ht="21.9" customHeight="1" x14ac:dyDescent="0.3">
      <c r="A45" s="47" t="str">
        <f t="shared" si="2"/>
        <v/>
      </c>
      <c r="B45" s="17"/>
      <c r="C45" s="9"/>
      <c r="D45" s="9"/>
      <c r="E45" s="9"/>
      <c r="F45" s="9"/>
      <c r="G45" s="14"/>
      <c r="H45" s="15"/>
      <c r="I45" s="15"/>
      <c r="J45" s="15"/>
      <c r="K45" s="22"/>
      <c r="L45" s="14"/>
      <c r="M45" s="15"/>
      <c r="N45" s="15"/>
      <c r="O45" s="15"/>
      <c r="P45" s="22"/>
      <c r="Q45" s="14"/>
      <c r="R45" s="15"/>
      <c r="S45" s="15"/>
      <c r="T45" s="15"/>
      <c r="U45" s="22"/>
      <c r="V45" s="14"/>
      <c r="W45" s="15"/>
      <c r="X45" s="15"/>
      <c r="Y45" s="15"/>
      <c r="Z45" s="22"/>
      <c r="AA45" s="90"/>
      <c r="AB45" s="15"/>
      <c r="AC45" s="15"/>
      <c r="AD45" s="15"/>
      <c r="AE45" s="22"/>
      <c r="AF45" s="118" t="str">
        <f t="shared" si="0"/>
        <v/>
      </c>
      <c r="AG45" s="119" t="str">
        <f t="shared" si="1"/>
        <v/>
      </c>
      <c r="AH45" s="8"/>
      <c r="AI45" s="9"/>
      <c r="AJ45" s="9"/>
      <c r="AK45" s="9"/>
      <c r="AL45" s="9"/>
      <c r="AM45" s="10"/>
      <c r="AN45" s="30" cm="1">
        <f t="array" ref="AN45">IF(ISNUMBER(SEARCH(REPT("A",5),
_xlfn.TEXTJOIN("",TRUE,
  IF(G45:AE45="A","A",
     IF(G43:AE43="","",
        "x"
     )
  )
))),1,0)</f>
        <v>0</v>
      </c>
    </row>
    <row r="46" spans="1:40" ht="21.9" customHeight="1" x14ac:dyDescent="0.3">
      <c r="A46" s="47" t="str">
        <f t="shared" si="2"/>
        <v/>
      </c>
      <c r="B46" s="17"/>
      <c r="C46" s="9"/>
      <c r="D46" s="9"/>
      <c r="E46" s="9"/>
      <c r="F46" s="9"/>
      <c r="G46" s="14"/>
      <c r="H46" s="15"/>
      <c r="I46" s="15"/>
      <c r="J46" s="15"/>
      <c r="K46" s="22"/>
      <c r="L46" s="14"/>
      <c r="M46" s="15"/>
      <c r="N46" s="15"/>
      <c r="O46" s="15"/>
      <c r="P46" s="22"/>
      <c r="Q46" s="14"/>
      <c r="R46" s="15"/>
      <c r="S46" s="15"/>
      <c r="T46" s="15"/>
      <c r="U46" s="22"/>
      <c r="V46" s="14"/>
      <c r="W46" s="15"/>
      <c r="X46" s="15"/>
      <c r="Y46" s="15"/>
      <c r="Z46" s="22"/>
      <c r="AA46" s="90"/>
      <c r="AB46" s="15"/>
      <c r="AC46" s="15"/>
      <c r="AD46" s="15"/>
      <c r="AE46" s="22"/>
      <c r="AF46" s="118" t="str">
        <f t="shared" si="0"/>
        <v/>
      </c>
      <c r="AG46" s="119" t="str">
        <f t="shared" si="1"/>
        <v/>
      </c>
      <c r="AH46" s="8"/>
      <c r="AI46" s="9"/>
      <c r="AJ46" s="9"/>
      <c r="AK46" s="9"/>
      <c r="AL46" s="9"/>
      <c r="AM46" s="10"/>
      <c r="AN46" s="30" cm="1">
        <f t="array" ref="AN46">IF(ISNUMBER(SEARCH(REPT("A",5),
_xlfn.TEXTJOIN("",TRUE,
  IF(G46:AE46="A","A",
     IF(G44:AE44="","",
        "x"
     )
  )
))),1,0)</f>
        <v>0</v>
      </c>
    </row>
    <row r="47" spans="1:40" ht="21.9" customHeight="1" x14ac:dyDescent="0.3">
      <c r="A47" s="47" t="str">
        <f t="shared" si="2"/>
        <v/>
      </c>
      <c r="B47" s="17"/>
      <c r="C47" s="9"/>
      <c r="D47" s="9"/>
      <c r="E47" s="9"/>
      <c r="F47" s="9"/>
      <c r="G47" s="14"/>
      <c r="H47" s="15"/>
      <c r="I47" s="15"/>
      <c r="J47" s="15"/>
      <c r="K47" s="22"/>
      <c r="L47" s="14"/>
      <c r="M47" s="15"/>
      <c r="N47" s="15"/>
      <c r="O47" s="15"/>
      <c r="P47" s="22"/>
      <c r="Q47" s="14"/>
      <c r="R47" s="15"/>
      <c r="S47" s="15"/>
      <c r="T47" s="15"/>
      <c r="U47" s="22"/>
      <c r="V47" s="14"/>
      <c r="W47" s="15"/>
      <c r="X47" s="15"/>
      <c r="Y47" s="15"/>
      <c r="Z47" s="22"/>
      <c r="AA47" s="90"/>
      <c r="AB47" s="15"/>
      <c r="AC47" s="15"/>
      <c r="AD47" s="15"/>
      <c r="AE47" s="22"/>
      <c r="AF47" s="118" t="str">
        <f t="shared" si="0"/>
        <v/>
      </c>
      <c r="AG47" s="119" t="str">
        <f t="shared" si="1"/>
        <v/>
      </c>
      <c r="AH47" s="8"/>
      <c r="AI47" s="9"/>
      <c r="AJ47" s="9"/>
      <c r="AK47" s="9"/>
      <c r="AL47" s="9"/>
      <c r="AM47" s="10"/>
      <c r="AN47" s="30" cm="1">
        <f t="array" ref="AN47">IF(ISNUMBER(SEARCH(REPT("A",5),
_xlfn.TEXTJOIN("",TRUE,
  IF(G47:AE47="A","A",
     IF(G45:AE45="","",
        "x"
     )
  )
))),1,0)</f>
        <v>0</v>
      </c>
    </row>
    <row r="48" spans="1:40" ht="21.9" customHeight="1" x14ac:dyDescent="0.3">
      <c r="A48" s="47" t="str">
        <f t="shared" si="2"/>
        <v/>
      </c>
      <c r="B48" s="17"/>
      <c r="C48" s="9"/>
      <c r="D48" s="9"/>
      <c r="E48" s="9"/>
      <c r="F48" s="9"/>
      <c r="G48" s="14"/>
      <c r="H48" s="15"/>
      <c r="I48" s="15"/>
      <c r="J48" s="15"/>
      <c r="K48" s="22"/>
      <c r="L48" s="14"/>
      <c r="M48" s="15"/>
      <c r="N48" s="15"/>
      <c r="O48" s="15"/>
      <c r="P48" s="22"/>
      <c r="Q48" s="14"/>
      <c r="R48" s="15"/>
      <c r="S48" s="15"/>
      <c r="T48" s="15"/>
      <c r="U48" s="22"/>
      <c r="V48" s="14"/>
      <c r="W48" s="15"/>
      <c r="X48" s="15"/>
      <c r="Y48" s="15"/>
      <c r="Z48" s="22"/>
      <c r="AA48" s="90"/>
      <c r="AB48" s="15"/>
      <c r="AC48" s="15"/>
      <c r="AD48" s="15"/>
      <c r="AE48" s="22"/>
      <c r="AF48" s="118" t="str">
        <f t="shared" si="0"/>
        <v/>
      </c>
      <c r="AG48" s="119" t="str">
        <f t="shared" si="1"/>
        <v/>
      </c>
      <c r="AH48" s="96"/>
      <c r="AI48" s="97"/>
      <c r="AJ48" s="9"/>
      <c r="AK48" s="9"/>
      <c r="AL48" s="9"/>
      <c r="AM48" s="10"/>
      <c r="AN48" s="30" cm="1">
        <f t="array" ref="AN48">IF(ISNUMBER(SEARCH(REPT("A",5),
_xlfn.TEXTJOIN("",TRUE,
  IF(G48:AE48="A","A",
     IF(G46:AE46="","",
        "x"
     )
  )
))),1,0)</f>
        <v>0</v>
      </c>
    </row>
    <row r="49" spans="1:40" ht="21.9" customHeight="1" x14ac:dyDescent="0.3">
      <c r="A49" s="47" t="str">
        <f t="shared" si="2"/>
        <v/>
      </c>
      <c r="B49" s="17"/>
      <c r="C49" s="9"/>
      <c r="D49" s="9"/>
      <c r="E49" s="9"/>
      <c r="F49" s="9"/>
      <c r="G49" s="14"/>
      <c r="H49" s="15"/>
      <c r="I49" s="15"/>
      <c r="J49" s="15"/>
      <c r="K49" s="22"/>
      <c r="L49" s="14"/>
      <c r="M49" s="15"/>
      <c r="N49" s="15"/>
      <c r="O49" s="15"/>
      <c r="P49" s="22"/>
      <c r="Q49" s="14"/>
      <c r="R49" s="15"/>
      <c r="S49" s="15"/>
      <c r="T49" s="15"/>
      <c r="U49" s="22"/>
      <c r="V49" s="14"/>
      <c r="W49" s="15"/>
      <c r="X49" s="15"/>
      <c r="Y49" s="15"/>
      <c r="Z49" s="22"/>
      <c r="AA49" s="90"/>
      <c r="AB49" s="15"/>
      <c r="AC49" s="15"/>
      <c r="AD49" s="15"/>
      <c r="AE49" s="22"/>
      <c r="AF49" s="118" t="str">
        <f t="shared" si="0"/>
        <v/>
      </c>
      <c r="AG49" s="119" t="str">
        <f t="shared" si="1"/>
        <v/>
      </c>
      <c r="AH49" s="164"/>
      <c r="AI49" s="165"/>
      <c r="AJ49" s="145"/>
      <c r="AK49" s="145"/>
      <c r="AL49" s="145"/>
      <c r="AM49" s="146"/>
      <c r="AN49" s="30" cm="1">
        <f t="array" ref="AN49">IF(ISNUMBER(SEARCH(REPT("A",5),
_xlfn.TEXTJOIN("",TRUE,
  IF(G49:AE49="A","A",
     IF(G47:AE47="","",
        "x"
     )
  )
))),1,0)</f>
        <v>0</v>
      </c>
    </row>
    <row r="50" spans="1:40" ht="21.9" customHeight="1" x14ac:dyDescent="0.3">
      <c r="A50" s="47" t="str">
        <f t="shared" si="2"/>
        <v/>
      </c>
      <c r="B50" s="17"/>
      <c r="C50" s="9"/>
      <c r="D50" s="9"/>
      <c r="E50" s="9"/>
      <c r="F50" s="9"/>
      <c r="G50" s="14"/>
      <c r="H50" s="15"/>
      <c r="I50" s="15"/>
      <c r="J50" s="15"/>
      <c r="K50" s="22"/>
      <c r="L50" s="14"/>
      <c r="M50" s="15"/>
      <c r="N50" s="15"/>
      <c r="O50" s="15"/>
      <c r="P50" s="22"/>
      <c r="Q50" s="14"/>
      <c r="R50" s="15"/>
      <c r="S50" s="15"/>
      <c r="T50" s="15"/>
      <c r="U50" s="22"/>
      <c r="V50" s="14"/>
      <c r="W50" s="15"/>
      <c r="X50" s="15"/>
      <c r="Y50" s="15"/>
      <c r="Z50" s="22"/>
      <c r="AA50" s="90"/>
      <c r="AB50" s="15"/>
      <c r="AC50" s="15"/>
      <c r="AD50" s="15"/>
      <c r="AE50" s="22"/>
      <c r="AF50" s="118" t="str">
        <f t="shared" si="0"/>
        <v/>
      </c>
      <c r="AG50" s="119" t="str">
        <f t="shared" si="1"/>
        <v/>
      </c>
      <c r="AH50" s="164"/>
      <c r="AI50" s="165"/>
      <c r="AJ50" s="145"/>
      <c r="AK50" s="145"/>
      <c r="AL50" s="145"/>
      <c r="AM50" s="146"/>
      <c r="AN50" s="30" cm="1">
        <f t="array" ref="AN50">IF(ISNUMBER(SEARCH(REPT("A",5),
_xlfn.TEXTJOIN("",TRUE,
  IF(G50:AE50="A","A",
     IF(G48:AE48="","",
        "x"
     )
  )
))),1,0)</f>
        <v>0</v>
      </c>
    </row>
    <row r="51" spans="1:40" ht="21.9" customHeight="1" x14ac:dyDescent="0.3">
      <c r="A51" s="47" t="str">
        <f t="shared" si="2"/>
        <v/>
      </c>
      <c r="B51" s="17"/>
      <c r="C51" s="11"/>
      <c r="D51" s="11"/>
      <c r="E51" s="11"/>
      <c r="F51" s="11"/>
      <c r="G51" s="14"/>
      <c r="H51" s="15"/>
      <c r="I51" s="15"/>
      <c r="J51" s="15"/>
      <c r="K51" s="22"/>
      <c r="L51" s="14"/>
      <c r="M51" s="15"/>
      <c r="N51" s="15"/>
      <c r="O51" s="15"/>
      <c r="P51" s="22"/>
      <c r="Q51" s="14"/>
      <c r="R51" s="15"/>
      <c r="S51" s="15"/>
      <c r="T51" s="15"/>
      <c r="U51" s="22"/>
      <c r="V51" s="14"/>
      <c r="W51" s="15"/>
      <c r="X51" s="15"/>
      <c r="Y51" s="15"/>
      <c r="Z51" s="22"/>
      <c r="AA51" s="90"/>
      <c r="AB51" s="15"/>
      <c r="AC51" s="15"/>
      <c r="AD51" s="15"/>
      <c r="AE51" s="22"/>
      <c r="AF51" s="118" t="str">
        <f t="shared" si="0"/>
        <v/>
      </c>
      <c r="AG51" s="119" t="str">
        <f t="shared" si="1"/>
        <v/>
      </c>
      <c r="AH51" s="164"/>
      <c r="AI51" s="165"/>
      <c r="AJ51" s="145"/>
      <c r="AK51" s="145"/>
      <c r="AL51" s="145"/>
      <c r="AM51" s="146"/>
      <c r="AN51" s="30" cm="1">
        <f t="array" ref="AN51">IF(ISNUMBER(SEARCH(REPT("A",5),
_xlfn.TEXTJOIN("",TRUE,
  IF(G51:AE51="A","A",
     IF(G49:AE49="","",
        "x"
     )
  )
))),1,0)</f>
        <v>0</v>
      </c>
    </row>
    <row r="52" spans="1:40" ht="21.9" customHeight="1" thickBot="1" x14ac:dyDescent="0.35">
      <c r="A52" s="48" t="str">
        <f t="shared" si="2"/>
        <v/>
      </c>
      <c r="B52" s="18"/>
      <c r="C52" s="11"/>
      <c r="D52" s="11"/>
      <c r="E52" s="11"/>
      <c r="F52" s="11"/>
      <c r="G52" s="85"/>
      <c r="H52" s="86"/>
      <c r="I52" s="86"/>
      <c r="J52" s="86"/>
      <c r="K52" s="87"/>
      <c r="L52" s="85"/>
      <c r="M52" s="86"/>
      <c r="N52" s="86"/>
      <c r="O52" s="86"/>
      <c r="P52" s="87"/>
      <c r="Q52" s="85"/>
      <c r="R52" s="86"/>
      <c r="S52" s="86"/>
      <c r="T52" s="86"/>
      <c r="U52" s="87"/>
      <c r="V52" s="85"/>
      <c r="W52" s="86"/>
      <c r="X52" s="86"/>
      <c r="Y52" s="86"/>
      <c r="Z52" s="87"/>
      <c r="AA52" s="91"/>
      <c r="AB52" s="86"/>
      <c r="AC52" s="86"/>
      <c r="AD52" s="86"/>
      <c r="AE52" s="87"/>
      <c r="AF52" s="118" t="str">
        <f>IF(AND(B52&lt;&gt;"",(25-COUNTBLANK($G$11:$AE$11))&lt;&gt;0),COUNTIF(G52:AE52,"A"),"")</f>
        <v/>
      </c>
      <c r="AG52" s="119" t="str">
        <f t="shared" si="1"/>
        <v/>
      </c>
      <c r="AH52" s="168"/>
      <c r="AI52" s="165"/>
      <c r="AJ52" s="169"/>
      <c r="AK52" s="169"/>
      <c r="AL52" s="169"/>
      <c r="AM52" s="170"/>
      <c r="AN52" s="30" cm="1">
        <f t="array" ref="AN52">IF(ISNUMBER(SEARCH(REPT("A",5),
_xlfn.TEXTJOIN("",TRUE,
  IF(G52:AE52="A","A",
     IF(G50:AE50="","",
        "x"
     )
  )
))),1,0)</f>
        <v>0</v>
      </c>
    </row>
    <row r="53" spans="1:40" ht="21.9" customHeight="1" thickBot="1" x14ac:dyDescent="0.35">
      <c r="A53" s="88"/>
      <c r="B53" s="108" t="s">
        <v>86</v>
      </c>
      <c r="C53" s="109"/>
      <c r="D53" s="109"/>
      <c r="E53" s="109"/>
      <c r="F53" s="109"/>
      <c r="G53" s="110" t="str">
        <f>IF(AND((40-COUNTBLANK($B$13:$B$52))&lt;&gt;0,G11&lt;&gt;""),40-COUNTBLANK($B$13:$B$52)-COUNTIF(G13:G52,"A"),"")</f>
        <v/>
      </c>
      <c r="H53" s="111" t="str">
        <f t="shared" ref="H53:AE53" si="3">IF(AND((40-COUNTBLANK($B$13:$B$52))&lt;&gt;0,H11&lt;&gt;""),40-COUNTBLANK($B$13:$B$52)-COUNTIF(H13:H52,"A"),"")</f>
        <v/>
      </c>
      <c r="I53" s="111" t="str">
        <f t="shared" si="3"/>
        <v/>
      </c>
      <c r="J53" s="111" t="str">
        <f t="shared" si="3"/>
        <v/>
      </c>
      <c r="K53" s="112" t="str">
        <f t="shared" si="3"/>
        <v/>
      </c>
      <c r="L53" s="113" t="str">
        <f t="shared" si="3"/>
        <v/>
      </c>
      <c r="M53" s="111" t="str">
        <f t="shared" si="3"/>
        <v/>
      </c>
      <c r="N53" s="111" t="str">
        <f t="shared" si="3"/>
        <v/>
      </c>
      <c r="O53" s="111" t="str">
        <f t="shared" si="3"/>
        <v/>
      </c>
      <c r="P53" s="112" t="str">
        <f t="shared" si="3"/>
        <v/>
      </c>
      <c r="Q53" s="113" t="str">
        <f t="shared" si="3"/>
        <v/>
      </c>
      <c r="R53" s="111" t="str">
        <f t="shared" si="3"/>
        <v/>
      </c>
      <c r="S53" s="111" t="str">
        <f t="shared" si="3"/>
        <v/>
      </c>
      <c r="T53" s="111" t="str">
        <f t="shared" si="3"/>
        <v/>
      </c>
      <c r="U53" s="112" t="str">
        <f t="shared" si="3"/>
        <v/>
      </c>
      <c r="V53" s="113" t="str">
        <f t="shared" si="3"/>
        <v/>
      </c>
      <c r="W53" s="111" t="str">
        <f t="shared" si="3"/>
        <v/>
      </c>
      <c r="X53" s="111" t="str">
        <f t="shared" si="3"/>
        <v/>
      </c>
      <c r="Y53" s="111" t="str">
        <f t="shared" si="3"/>
        <v/>
      </c>
      <c r="Z53" s="112" t="str">
        <f t="shared" si="3"/>
        <v/>
      </c>
      <c r="AA53" s="113" t="str">
        <f t="shared" si="3"/>
        <v/>
      </c>
      <c r="AB53" s="111" t="str">
        <f t="shared" si="3"/>
        <v/>
      </c>
      <c r="AC53" s="111" t="str">
        <f t="shared" si="3"/>
        <v/>
      </c>
      <c r="AD53" s="111" t="str">
        <f t="shared" si="3"/>
        <v/>
      </c>
      <c r="AE53" s="112" t="str">
        <f t="shared" si="3"/>
        <v/>
      </c>
      <c r="AF53" s="114">
        <f>SUM(AF13:AF52)</f>
        <v>0</v>
      </c>
      <c r="AG53" s="114">
        <f>SUM(AG13:AG52)</f>
        <v>0</v>
      </c>
      <c r="AH53" s="115"/>
      <c r="AI53" s="116"/>
      <c r="AJ53" s="116"/>
      <c r="AK53" s="116"/>
      <c r="AL53" s="116"/>
      <c r="AM53" s="117"/>
      <c r="AN53" s="30" cm="1">
        <f t="array" ref="AN53">IF(ISNUMBER(SEARCH(REPT("A",5),
_xlfn.TEXTJOIN("",TRUE,
  IF(G53:AE53="A","A",
     IF(G51:AE51="","",
        "x"
     )
  )
))),1,0)</f>
        <v>0</v>
      </c>
    </row>
    <row r="54" spans="1:40" ht="21.9" customHeight="1" x14ac:dyDescent="0.3">
      <c r="A54" s="46">
        <v>1</v>
      </c>
      <c r="B54" s="19"/>
      <c r="C54" s="12"/>
      <c r="D54" s="12"/>
      <c r="E54" s="12"/>
      <c r="F54" s="12"/>
      <c r="G54" s="103"/>
      <c r="H54" s="104"/>
      <c r="I54" s="104"/>
      <c r="J54" s="104"/>
      <c r="K54" s="105"/>
      <c r="L54" s="103"/>
      <c r="M54" s="104"/>
      <c r="N54" s="104"/>
      <c r="O54" s="104"/>
      <c r="P54" s="105"/>
      <c r="Q54" s="103"/>
      <c r="R54" s="104"/>
      <c r="S54" s="104"/>
      <c r="T54" s="104"/>
      <c r="U54" s="105"/>
      <c r="V54" s="103"/>
      <c r="W54" s="104"/>
      <c r="X54" s="104"/>
      <c r="Y54" s="104"/>
      <c r="Z54" s="105"/>
      <c r="AA54" s="106"/>
      <c r="AB54" s="104"/>
      <c r="AC54" s="104"/>
      <c r="AD54" s="104"/>
      <c r="AE54" s="105"/>
      <c r="AF54" s="118" t="str">
        <f>IF(AND(B54&lt;&gt;"",(25-COUNTBLANK($G$11:$AE$11))&lt;&gt;0),COUNTIF(G54:AE54,"A"),"")</f>
        <v/>
      </c>
      <c r="AG54" s="119" t="str">
        <f t="shared" si="1"/>
        <v/>
      </c>
      <c r="AH54" s="166"/>
      <c r="AI54" s="141"/>
      <c r="AJ54" s="141"/>
      <c r="AK54" s="141"/>
      <c r="AL54" s="141"/>
      <c r="AM54" s="167"/>
      <c r="AN54" s="30" cm="1">
        <f t="array" ref="AN54">IF(ISNUMBER(SEARCH(REPT("A",5),
_xlfn.TEXTJOIN("",TRUE,
  IF(G54:AE54="A","A",
     IF(G52:AE52="","",
        "x"
     )
  )
))),1,0)</f>
        <v>0</v>
      </c>
    </row>
    <row r="55" spans="1:40" ht="21.9" customHeight="1" x14ac:dyDescent="0.3">
      <c r="A55" s="47" t="str">
        <f>IF(AND(B54&lt;&gt;"",B55&lt;&gt;""),A54+1,"")</f>
        <v/>
      </c>
      <c r="B55" s="20"/>
      <c r="C55" s="13"/>
      <c r="D55" s="13"/>
      <c r="E55" s="13"/>
      <c r="F55" s="13"/>
      <c r="G55" s="14"/>
      <c r="H55" s="15"/>
      <c r="I55" s="15"/>
      <c r="J55" s="15"/>
      <c r="K55" s="22"/>
      <c r="L55" s="14"/>
      <c r="M55" s="15"/>
      <c r="N55" s="15"/>
      <c r="O55" s="15"/>
      <c r="P55" s="22"/>
      <c r="Q55" s="14"/>
      <c r="R55" s="15"/>
      <c r="S55" s="15"/>
      <c r="T55" s="15"/>
      <c r="U55" s="22"/>
      <c r="V55" s="14"/>
      <c r="W55" s="15"/>
      <c r="X55" s="15"/>
      <c r="Y55" s="15"/>
      <c r="Z55" s="22"/>
      <c r="AA55" s="90"/>
      <c r="AB55" s="15"/>
      <c r="AC55" s="15"/>
      <c r="AD55" s="15"/>
      <c r="AE55" s="22"/>
      <c r="AF55" s="118" t="str">
        <f>IF(AND(B55&lt;&gt;"",(25-COUNTBLANK($G$11:$AE$11))&lt;&gt;0),COUNTIF(G55:AE55,"A"),"")</f>
        <v/>
      </c>
      <c r="AG55" s="119" t="str">
        <f>IF(AF55="","",25-COUNTBLANK($G$11:$AE$11)-AF55)</f>
        <v/>
      </c>
      <c r="AH55" s="144"/>
      <c r="AI55" s="145"/>
      <c r="AJ55" s="145"/>
      <c r="AK55" s="145"/>
      <c r="AL55" s="145"/>
      <c r="AM55" s="146"/>
      <c r="AN55" s="30" cm="1">
        <f t="array" ref="AN55">IF(ISNUMBER(SEARCH(REPT("A",5),
_xlfn.TEXTJOIN("",TRUE,
  IF(G55:AE55="A","A",
     IF(G53:AE53="","",
        "x"
     )
  )
))),1,0)</f>
        <v>0</v>
      </c>
    </row>
    <row r="56" spans="1:40" ht="21.9" customHeight="1" x14ac:dyDescent="0.3">
      <c r="A56" s="47" t="str">
        <f t="shared" ref="A56:A93" si="4">IF(AND(B55&lt;&gt;"",B56&lt;&gt;""),A55+1,"")</f>
        <v/>
      </c>
      <c r="B56" s="20"/>
      <c r="C56" s="13"/>
      <c r="D56" s="13"/>
      <c r="E56" s="13"/>
      <c r="F56" s="13"/>
      <c r="G56" s="14"/>
      <c r="H56" s="15"/>
      <c r="I56" s="15"/>
      <c r="J56" s="15"/>
      <c r="K56" s="22"/>
      <c r="L56" s="14"/>
      <c r="M56" s="15"/>
      <c r="N56" s="15"/>
      <c r="O56" s="15"/>
      <c r="P56" s="22"/>
      <c r="Q56" s="14"/>
      <c r="R56" s="15"/>
      <c r="S56" s="15"/>
      <c r="T56" s="15"/>
      <c r="U56" s="22"/>
      <c r="V56" s="14"/>
      <c r="W56" s="15"/>
      <c r="X56" s="15"/>
      <c r="Y56" s="15"/>
      <c r="Z56" s="22"/>
      <c r="AA56" s="90"/>
      <c r="AB56" s="15"/>
      <c r="AC56" s="15"/>
      <c r="AD56" s="15"/>
      <c r="AE56" s="22"/>
      <c r="AF56" s="118" t="str">
        <f t="shared" ref="AF56:AF93" si="5">IF(AND(B56&lt;&gt;"",(25-COUNTBLANK($G$11:$AE$11))&lt;&gt;0),COUNTIF(G56:AE56,"A"),"")</f>
        <v/>
      </c>
      <c r="AG56" s="119" t="str">
        <f t="shared" ref="AG56:AG93" si="6">IF(AF56="","",25-COUNTBLANK($G$11:$AE$11)-AF56)</f>
        <v/>
      </c>
      <c r="AH56" s="144"/>
      <c r="AI56" s="145"/>
      <c r="AJ56" s="145"/>
      <c r="AK56" s="145"/>
      <c r="AL56" s="145"/>
      <c r="AM56" s="146"/>
      <c r="AN56" s="30" cm="1">
        <f t="array" ref="AN56">IF(ISNUMBER(SEARCH(REPT("A",5),
_xlfn.TEXTJOIN("",TRUE,
  IF(G56:AE56="A","A",
     IF(G54:AE54="","",
        "x"
     )
  )
))),1,0)</f>
        <v>0</v>
      </c>
    </row>
    <row r="57" spans="1:40" ht="21.9" customHeight="1" x14ac:dyDescent="0.3">
      <c r="A57" s="47" t="str">
        <f t="shared" si="4"/>
        <v/>
      </c>
      <c r="B57" s="20"/>
      <c r="C57" s="13"/>
      <c r="D57" s="13"/>
      <c r="E57" s="13"/>
      <c r="F57" s="13"/>
      <c r="G57" s="14"/>
      <c r="H57" s="15"/>
      <c r="I57" s="15"/>
      <c r="J57" s="15"/>
      <c r="K57" s="22"/>
      <c r="L57" s="14"/>
      <c r="M57" s="15"/>
      <c r="N57" s="15"/>
      <c r="O57" s="15"/>
      <c r="P57" s="22"/>
      <c r="Q57" s="14"/>
      <c r="R57" s="15"/>
      <c r="S57" s="15"/>
      <c r="T57" s="15"/>
      <c r="U57" s="22"/>
      <c r="V57" s="14"/>
      <c r="W57" s="15"/>
      <c r="X57" s="15"/>
      <c r="Y57" s="15"/>
      <c r="Z57" s="22"/>
      <c r="AA57" s="90"/>
      <c r="AB57" s="15"/>
      <c r="AC57" s="15"/>
      <c r="AD57" s="15"/>
      <c r="AE57" s="22"/>
      <c r="AF57" s="118" t="str">
        <f t="shared" si="5"/>
        <v/>
      </c>
      <c r="AG57" s="119" t="str">
        <f t="shared" si="6"/>
        <v/>
      </c>
      <c r="AH57" s="144"/>
      <c r="AI57" s="145"/>
      <c r="AJ57" s="145"/>
      <c r="AK57" s="145"/>
      <c r="AL57" s="145"/>
      <c r="AM57" s="146"/>
      <c r="AN57" s="30" cm="1">
        <f t="array" ref="AN57">IF(ISNUMBER(SEARCH(REPT("A",5),
_xlfn.TEXTJOIN("",TRUE,
  IF(G57:AE57="A","A",
     IF(G55:AE55="","",
        "x"
     )
  )
))),1,0)</f>
        <v>0</v>
      </c>
    </row>
    <row r="58" spans="1:40" ht="21.9" customHeight="1" x14ac:dyDescent="0.3">
      <c r="A58" s="47" t="str">
        <f t="shared" si="4"/>
        <v/>
      </c>
      <c r="B58" s="20"/>
      <c r="C58" s="13"/>
      <c r="D58" s="13"/>
      <c r="E58" s="13"/>
      <c r="F58" s="13"/>
      <c r="G58" s="14"/>
      <c r="H58" s="15"/>
      <c r="I58" s="15"/>
      <c r="J58" s="15"/>
      <c r="K58" s="22"/>
      <c r="L58" s="14"/>
      <c r="M58" s="15"/>
      <c r="N58" s="15"/>
      <c r="O58" s="15"/>
      <c r="P58" s="22"/>
      <c r="Q58" s="14"/>
      <c r="R58" s="15"/>
      <c r="S58" s="15"/>
      <c r="T58" s="15"/>
      <c r="U58" s="22"/>
      <c r="V58" s="14"/>
      <c r="W58" s="15"/>
      <c r="X58" s="15"/>
      <c r="Y58" s="15"/>
      <c r="Z58" s="22"/>
      <c r="AA58" s="90"/>
      <c r="AB58" s="15"/>
      <c r="AC58" s="15"/>
      <c r="AD58" s="15"/>
      <c r="AE58" s="22"/>
      <c r="AF58" s="118" t="str">
        <f t="shared" si="5"/>
        <v/>
      </c>
      <c r="AG58" s="119" t="str">
        <f t="shared" si="6"/>
        <v/>
      </c>
      <c r="AH58" s="144"/>
      <c r="AI58" s="145"/>
      <c r="AJ58" s="145"/>
      <c r="AK58" s="145"/>
      <c r="AL58" s="145"/>
      <c r="AM58" s="146"/>
      <c r="AN58" s="30" cm="1">
        <f t="array" ref="AN58">IF(ISNUMBER(SEARCH(REPT("A",5),
_xlfn.TEXTJOIN("",TRUE,
  IF(G58:AE58="A","A",
     IF(G56:AE56="","",
        "x"
     )
  )
))),1,0)</f>
        <v>0</v>
      </c>
    </row>
    <row r="59" spans="1:40" ht="21.9" customHeight="1" x14ac:dyDescent="0.3">
      <c r="A59" s="47" t="str">
        <f t="shared" si="4"/>
        <v/>
      </c>
      <c r="B59" s="20"/>
      <c r="C59" s="13"/>
      <c r="D59" s="13"/>
      <c r="E59" s="13"/>
      <c r="F59" s="13"/>
      <c r="G59" s="14"/>
      <c r="H59" s="15"/>
      <c r="I59" s="15"/>
      <c r="J59" s="15"/>
      <c r="K59" s="22"/>
      <c r="L59" s="14"/>
      <c r="M59" s="15"/>
      <c r="N59" s="15"/>
      <c r="O59" s="15"/>
      <c r="P59" s="22"/>
      <c r="Q59" s="14"/>
      <c r="R59" s="15"/>
      <c r="S59" s="15"/>
      <c r="T59" s="15"/>
      <c r="U59" s="22"/>
      <c r="V59" s="14"/>
      <c r="W59" s="15"/>
      <c r="X59" s="15"/>
      <c r="Y59" s="15"/>
      <c r="Z59" s="22"/>
      <c r="AA59" s="90"/>
      <c r="AB59" s="15"/>
      <c r="AC59" s="15"/>
      <c r="AD59" s="15"/>
      <c r="AE59" s="22"/>
      <c r="AF59" s="118" t="str">
        <f t="shared" si="5"/>
        <v/>
      </c>
      <c r="AG59" s="119" t="str">
        <f t="shared" si="6"/>
        <v/>
      </c>
      <c r="AH59" s="144"/>
      <c r="AI59" s="145"/>
      <c r="AJ59" s="145"/>
      <c r="AK59" s="145"/>
      <c r="AL59" s="145"/>
      <c r="AM59" s="146"/>
      <c r="AN59" s="30" cm="1">
        <f t="array" ref="AN59">IF(ISNUMBER(SEARCH(REPT("A",5),
_xlfn.TEXTJOIN("",TRUE,
  IF(G59:AE59="A","A",
     IF(G57:AE57="","",
        "x"
     )
  )
))),1,0)</f>
        <v>0</v>
      </c>
    </row>
    <row r="60" spans="1:40" ht="21.9" customHeight="1" x14ac:dyDescent="0.3">
      <c r="A60" s="47" t="str">
        <f t="shared" si="4"/>
        <v/>
      </c>
      <c r="B60" s="20"/>
      <c r="C60" s="13"/>
      <c r="D60" s="13"/>
      <c r="E60" s="13"/>
      <c r="F60" s="13"/>
      <c r="G60" s="14"/>
      <c r="H60" s="15"/>
      <c r="I60" s="15"/>
      <c r="J60" s="15"/>
      <c r="K60" s="22"/>
      <c r="L60" s="14"/>
      <c r="M60" s="15"/>
      <c r="N60" s="15"/>
      <c r="O60" s="15"/>
      <c r="P60" s="22"/>
      <c r="Q60" s="14"/>
      <c r="R60" s="15"/>
      <c r="S60" s="15"/>
      <c r="T60" s="15"/>
      <c r="U60" s="22"/>
      <c r="V60" s="14"/>
      <c r="W60" s="15"/>
      <c r="X60" s="15"/>
      <c r="Y60" s="15"/>
      <c r="Z60" s="22"/>
      <c r="AA60" s="90"/>
      <c r="AB60" s="15"/>
      <c r="AC60" s="15"/>
      <c r="AD60" s="15"/>
      <c r="AE60" s="22"/>
      <c r="AF60" s="118" t="str">
        <f t="shared" si="5"/>
        <v/>
      </c>
      <c r="AG60" s="119" t="str">
        <f t="shared" si="6"/>
        <v/>
      </c>
      <c r="AH60" s="144"/>
      <c r="AI60" s="145"/>
      <c r="AJ60" s="145"/>
      <c r="AK60" s="145"/>
      <c r="AL60" s="145"/>
      <c r="AM60" s="146"/>
      <c r="AN60" s="30" cm="1">
        <f t="array" ref="AN60">IF(ISNUMBER(SEARCH(REPT("A",5),
_xlfn.TEXTJOIN("",TRUE,
  IF(G60:AE60="A","A",
     IF(G58:AE58="","",
        "x"
     )
  )
))),1,0)</f>
        <v>0</v>
      </c>
    </row>
    <row r="61" spans="1:40" ht="21.9" customHeight="1" x14ac:dyDescent="0.3">
      <c r="A61" s="47" t="str">
        <f t="shared" si="4"/>
        <v/>
      </c>
      <c r="B61" s="20"/>
      <c r="C61" s="13"/>
      <c r="D61" s="13"/>
      <c r="E61" s="13"/>
      <c r="F61" s="13"/>
      <c r="G61" s="14"/>
      <c r="H61" s="15"/>
      <c r="I61" s="15"/>
      <c r="J61" s="15"/>
      <c r="K61" s="22"/>
      <c r="L61" s="14"/>
      <c r="M61" s="15"/>
      <c r="N61" s="15"/>
      <c r="O61" s="15"/>
      <c r="P61" s="22"/>
      <c r="Q61" s="14"/>
      <c r="R61" s="15"/>
      <c r="S61" s="15"/>
      <c r="T61" s="15"/>
      <c r="U61" s="22"/>
      <c r="V61" s="14"/>
      <c r="W61" s="15"/>
      <c r="X61" s="15"/>
      <c r="Y61" s="15"/>
      <c r="Z61" s="22"/>
      <c r="AA61" s="90"/>
      <c r="AB61" s="15"/>
      <c r="AC61" s="15"/>
      <c r="AD61" s="15"/>
      <c r="AE61" s="22"/>
      <c r="AF61" s="118" t="str">
        <f t="shared" si="5"/>
        <v/>
      </c>
      <c r="AG61" s="119" t="str">
        <f t="shared" si="6"/>
        <v/>
      </c>
      <c r="AH61" s="144"/>
      <c r="AI61" s="145"/>
      <c r="AJ61" s="145"/>
      <c r="AK61" s="145"/>
      <c r="AL61" s="145"/>
      <c r="AM61" s="146"/>
      <c r="AN61" s="30" cm="1">
        <f t="array" ref="AN61">IF(ISNUMBER(SEARCH(REPT("A",5),
_xlfn.TEXTJOIN("",TRUE,
  IF(G61:AE61="A","A",
     IF(G59:AE59="","",
        "x"
     )
  )
))),1,0)</f>
        <v>0</v>
      </c>
    </row>
    <row r="62" spans="1:40" ht="21.9" customHeight="1" x14ac:dyDescent="0.3">
      <c r="A62" s="47" t="str">
        <f t="shared" si="4"/>
        <v/>
      </c>
      <c r="B62" s="20"/>
      <c r="C62" s="13"/>
      <c r="D62" s="13"/>
      <c r="E62" s="13"/>
      <c r="F62" s="13"/>
      <c r="G62" s="14"/>
      <c r="H62" s="15"/>
      <c r="I62" s="15"/>
      <c r="J62" s="15"/>
      <c r="K62" s="22"/>
      <c r="L62" s="14"/>
      <c r="M62" s="15"/>
      <c r="N62" s="15"/>
      <c r="O62" s="15"/>
      <c r="P62" s="22"/>
      <c r="Q62" s="14"/>
      <c r="R62" s="15"/>
      <c r="S62" s="15"/>
      <c r="T62" s="15"/>
      <c r="U62" s="22"/>
      <c r="V62" s="14"/>
      <c r="W62" s="15"/>
      <c r="X62" s="15"/>
      <c r="Y62" s="15"/>
      <c r="Z62" s="22"/>
      <c r="AA62" s="90"/>
      <c r="AB62" s="15"/>
      <c r="AC62" s="15"/>
      <c r="AD62" s="15"/>
      <c r="AE62" s="22"/>
      <c r="AF62" s="118" t="str">
        <f t="shared" si="5"/>
        <v/>
      </c>
      <c r="AG62" s="119" t="str">
        <f t="shared" si="6"/>
        <v/>
      </c>
      <c r="AH62" s="144"/>
      <c r="AI62" s="145"/>
      <c r="AJ62" s="145"/>
      <c r="AK62" s="145"/>
      <c r="AL62" s="145"/>
      <c r="AM62" s="146"/>
      <c r="AN62" s="30" cm="1">
        <f t="array" ref="AN62">IF(ISNUMBER(SEARCH(REPT("A",5),
_xlfn.TEXTJOIN("",TRUE,
  IF(G62:AE62="A","A",
     IF(G60:AE60="","",
        "x"
     )
  )
))),1,0)</f>
        <v>0</v>
      </c>
    </row>
    <row r="63" spans="1:40" ht="21.9" customHeight="1" x14ac:dyDescent="0.3">
      <c r="A63" s="47" t="str">
        <f t="shared" si="4"/>
        <v/>
      </c>
      <c r="B63" s="20"/>
      <c r="C63" s="13"/>
      <c r="D63" s="13"/>
      <c r="E63" s="13"/>
      <c r="F63" s="13"/>
      <c r="G63" s="14"/>
      <c r="H63" s="15"/>
      <c r="I63" s="15"/>
      <c r="J63" s="15"/>
      <c r="K63" s="22"/>
      <c r="L63" s="14"/>
      <c r="M63" s="15"/>
      <c r="N63" s="15"/>
      <c r="O63" s="15"/>
      <c r="P63" s="22"/>
      <c r="Q63" s="14"/>
      <c r="R63" s="15"/>
      <c r="S63" s="15"/>
      <c r="T63" s="15"/>
      <c r="U63" s="22"/>
      <c r="V63" s="14"/>
      <c r="W63" s="15"/>
      <c r="X63" s="15"/>
      <c r="Y63" s="15"/>
      <c r="Z63" s="22"/>
      <c r="AA63" s="90"/>
      <c r="AB63" s="15"/>
      <c r="AC63" s="15"/>
      <c r="AD63" s="15"/>
      <c r="AE63" s="22"/>
      <c r="AF63" s="118" t="str">
        <f t="shared" si="5"/>
        <v/>
      </c>
      <c r="AG63" s="119" t="str">
        <f t="shared" si="6"/>
        <v/>
      </c>
      <c r="AH63" s="144"/>
      <c r="AI63" s="145"/>
      <c r="AJ63" s="145"/>
      <c r="AK63" s="145"/>
      <c r="AL63" s="145"/>
      <c r="AM63" s="146"/>
      <c r="AN63" s="30" cm="1">
        <f t="array" ref="AN63">IF(ISNUMBER(SEARCH(REPT("A",5),
_xlfn.TEXTJOIN("",TRUE,
  IF(G63:AE63="A","A",
     IF(G61:AE61="","",
        "x"
     )
  )
))),1,0)</f>
        <v>0</v>
      </c>
    </row>
    <row r="64" spans="1:40" ht="21.9" customHeight="1" x14ac:dyDescent="0.3">
      <c r="A64" s="47" t="str">
        <f t="shared" si="4"/>
        <v/>
      </c>
      <c r="B64" s="20"/>
      <c r="C64" s="13"/>
      <c r="D64" s="13"/>
      <c r="E64" s="13"/>
      <c r="F64" s="13"/>
      <c r="G64" s="14"/>
      <c r="H64" s="15"/>
      <c r="I64" s="15"/>
      <c r="J64" s="15"/>
      <c r="K64" s="22"/>
      <c r="L64" s="14"/>
      <c r="M64" s="15"/>
      <c r="N64" s="15"/>
      <c r="O64" s="15"/>
      <c r="P64" s="22"/>
      <c r="Q64" s="14"/>
      <c r="R64" s="15"/>
      <c r="S64" s="15"/>
      <c r="T64" s="15"/>
      <c r="U64" s="22"/>
      <c r="V64" s="14"/>
      <c r="W64" s="15"/>
      <c r="X64" s="15"/>
      <c r="Y64" s="15"/>
      <c r="Z64" s="22"/>
      <c r="AA64" s="90"/>
      <c r="AB64" s="15"/>
      <c r="AC64" s="15"/>
      <c r="AD64" s="15"/>
      <c r="AE64" s="22"/>
      <c r="AF64" s="118" t="str">
        <f t="shared" si="5"/>
        <v/>
      </c>
      <c r="AG64" s="119" t="str">
        <f t="shared" si="6"/>
        <v/>
      </c>
      <c r="AH64" s="144"/>
      <c r="AI64" s="145"/>
      <c r="AJ64" s="145"/>
      <c r="AK64" s="145"/>
      <c r="AL64" s="145"/>
      <c r="AM64" s="146"/>
      <c r="AN64" s="30" cm="1">
        <f t="array" ref="AN64">IF(ISNUMBER(SEARCH(REPT("A",5),
_xlfn.TEXTJOIN("",TRUE,
  IF(G64:AE64="A","A",
     IF(G62:AE62="","",
        "x"
     )
  )
))),1,0)</f>
        <v>0</v>
      </c>
    </row>
    <row r="65" spans="1:40" ht="21.9" customHeight="1" x14ac:dyDescent="0.3">
      <c r="A65" s="47" t="str">
        <f t="shared" si="4"/>
        <v/>
      </c>
      <c r="B65" s="20"/>
      <c r="C65" s="13"/>
      <c r="D65" s="13"/>
      <c r="E65" s="13"/>
      <c r="F65" s="13"/>
      <c r="G65" s="14"/>
      <c r="H65" s="15"/>
      <c r="I65" s="15"/>
      <c r="J65" s="15"/>
      <c r="K65" s="22"/>
      <c r="L65" s="14"/>
      <c r="M65" s="15"/>
      <c r="N65" s="15"/>
      <c r="O65" s="15"/>
      <c r="P65" s="22"/>
      <c r="Q65" s="14"/>
      <c r="R65" s="15"/>
      <c r="S65" s="15"/>
      <c r="T65" s="15"/>
      <c r="U65" s="22"/>
      <c r="V65" s="14"/>
      <c r="W65" s="15"/>
      <c r="X65" s="15"/>
      <c r="Y65" s="15"/>
      <c r="Z65" s="22"/>
      <c r="AA65" s="90"/>
      <c r="AB65" s="15"/>
      <c r="AC65" s="15"/>
      <c r="AD65" s="15"/>
      <c r="AE65" s="22"/>
      <c r="AF65" s="118" t="str">
        <f t="shared" si="5"/>
        <v/>
      </c>
      <c r="AG65" s="119" t="str">
        <f t="shared" si="6"/>
        <v/>
      </c>
      <c r="AH65" s="144"/>
      <c r="AI65" s="145"/>
      <c r="AJ65" s="145"/>
      <c r="AK65" s="145"/>
      <c r="AL65" s="145"/>
      <c r="AM65" s="146"/>
      <c r="AN65" s="30" cm="1">
        <f t="array" ref="AN65">IF(ISNUMBER(SEARCH(REPT("A",5),
_xlfn.TEXTJOIN("",TRUE,
  IF(G65:AE65="A","A",
     IF(G63:AE63="","",
        "x"
     )
  )
))),1,0)</f>
        <v>0</v>
      </c>
    </row>
    <row r="66" spans="1:40" ht="21.9" customHeight="1" x14ac:dyDescent="0.3">
      <c r="A66" s="47" t="str">
        <f t="shared" si="4"/>
        <v/>
      </c>
      <c r="B66" s="20"/>
      <c r="C66" s="13"/>
      <c r="D66" s="13"/>
      <c r="E66" s="13"/>
      <c r="F66" s="13"/>
      <c r="G66" s="14"/>
      <c r="H66" s="15"/>
      <c r="I66" s="15"/>
      <c r="J66" s="15"/>
      <c r="K66" s="22"/>
      <c r="L66" s="14"/>
      <c r="M66" s="15"/>
      <c r="N66" s="15"/>
      <c r="O66" s="15"/>
      <c r="P66" s="22"/>
      <c r="Q66" s="14"/>
      <c r="R66" s="15"/>
      <c r="S66" s="15"/>
      <c r="T66" s="15"/>
      <c r="U66" s="22"/>
      <c r="V66" s="14"/>
      <c r="W66" s="15"/>
      <c r="X66" s="15"/>
      <c r="Y66" s="15"/>
      <c r="Z66" s="22"/>
      <c r="AA66" s="90"/>
      <c r="AB66" s="15"/>
      <c r="AC66" s="15"/>
      <c r="AD66" s="15"/>
      <c r="AE66" s="22"/>
      <c r="AF66" s="118" t="str">
        <f t="shared" si="5"/>
        <v/>
      </c>
      <c r="AG66" s="119" t="str">
        <f t="shared" si="6"/>
        <v/>
      </c>
      <c r="AH66" s="144"/>
      <c r="AI66" s="145"/>
      <c r="AJ66" s="145"/>
      <c r="AK66" s="145"/>
      <c r="AL66" s="145"/>
      <c r="AM66" s="146"/>
      <c r="AN66" s="30" cm="1">
        <f t="array" ref="AN66">IF(ISNUMBER(SEARCH(REPT("A",5),
_xlfn.TEXTJOIN("",TRUE,
  IF(G66:AE66="A","A",
     IF(G64:AE64="","",
        "x"
     )
  )
))),1,0)</f>
        <v>0</v>
      </c>
    </row>
    <row r="67" spans="1:40" ht="21.9" customHeight="1" x14ac:dyDescent="0.3">
      <c r="A67" s="47" t="str">
        <f t="shared" si="4"/>
        <v/>
      </c>
      <c r="B67" s="20"/>
      <c r="C67" s="13"/>
      <c r="D67" s="13"/>
      <c r="E67" s="13"/>
      <c r="F67" s="13"/>
      <c r="G67" s="14"/>
      <c r="H67" s="15"/>
      <c r="I67" s="15"/>
      <c r="J67" s="15"/>
      <c r="K67" s="22"/>
      <c r="L67" s="14"/>
      <c r="M67" s="15"/>
      <c r="N67" s="15"/>
      <c r="O67" s="15"/>
      <c r="P67" s="22"/>
      <c r="Q67" s="14"/>
      <c r="R67" s="15"/>
      <c r="S67" s="15"/>
      <c r="T67" s="15"/>
      <c r="U67" s="22"/>
      <c r="V67" s="14"/>
      <c r="W67" s="15"/>
      <c r="X67" s="15"/>
      <c r="Y67" s="15"/>
      <c r="Z67" s="22"/>
      <c r="AA67" s="90"/>
      <c r="AB67" s="15"/>
      <c r="AC67" s="15"/>
      <c r="AD67" s="15"/>
      <c r="AE67" s="22"/>
      <c r="AF67" s="118" t="str">
        <f t="shared" si="5"/>
        <v/>
      </c>
      <c r="AG67" s="119" t="str">
        <f t="shared" si="6"/>
        <v/>
      </c>
      <c r="AH67" s="144"/>
      <c r="AI67" s="145"/>
      <c r="AJ67" s="145"/>
      <c r="AK67" s="145"/>
      <c r="AL67" s="145"/>
      <c r="AM67" s="146"/>
      <c r="AN67" s="30" cm="1">
        <f t="array" ref="AN67">IF(ISNUMBER(SEARCH(REPT("A",5),
_xlfn.TEXTJOIN("",TRUE,
  IF(G67:AE67="A","A",
     IF(G65:AE65="","",
        "x"
     )
  )
))),1,0)</f>
        <v>0</v>
      </c>
    </row>
    <row r="68" spans="1:40" ht="21.9" customHeight="1" x14ac:dyDescent="0.3">
      <c r="A68" s="47" t="str">
        <f t="shared" si="4"/>
        <v/>
      </c>
      <c r="B68" s="20"/>
      <c r="C68" s="13"/>
      <c r="D68" s="13"/>
      <c r="E68" s="13"/>
      <c r="F68" s="13"/>
      <c r="G68" s="14"/>
      <c r="H68" s="15"/>
      <c r="I68" s="15"/>
      <c r="J68" s="15"/>
      <c r="K68" s="22"/>
      <c r="L68" s="14"/>
      <c r="M68" s="15"/>
      <c r="N68" s="15"/>
      <c r="O68" s="15"/>
      <c r="P68" s="22"/>
      <c r="Q68" s="14"/>
      <c r="R68" s="15"/>
      <c r="S68" s="15"/>
      <c r="T68" s="15"/>
      <c r="U68" s="22"/>
      <c r="V68" s="14"/>
      <c r="W68" s="15"/>
      <c r="X68" s="15"/>
      <c r="Y68" s="15"/>
      <c r="Z68" s="22"/>
      <c r="AA68" s="90"/>
      <c r="AB68" s="15"/>
      <c r="AC68" s="15"/>
      <c r="AD68" s="15"/>
      <c r="AE68" s="22"/>
      <c r="AF68" s="118" t="str">
        <f t="shared" si="5"/>
        <v/>
      </c>
      <c r="AG68" s="119" t="str">
        <f t="shared" si="6"/>
        <v/>
      </c>
      <c r="AH68" s="144"/>
      <c r="AI68" s="145"/>
      <c r="AJ68" s="145"/>
      <c r="AK68" s="145"/>
      <c r="AL68" s="145"/>
      <c r="AM68" s="146"/>
      <c r="AN68" s="30" cm="1">
        <f t="array" ref="AN68">IF(ISNUMBER(SEARCH(REPT("A",5),
_xlfn.TEXTJOIN("",TRUE,
  IF(G68:AE68="A","A",
     IF(G66:AE66="","",
        "x"
     )
  )
))),1,0)</f>
        <v>0</v>
      </c>
    </row>
    <row r="69" spans="1:40" ht="21.9" customHeight="1" x14ac:dyDescent="0.3">
      <c r="A69" s="47" t="str">
        <f t="shared" si="4"/>
        <v/>
      </c>
      <c r="B69" s="20"/>
      <c r="C69" s="13"/>
      <c r="D69" s="13"/>
      <c r="E69" s="13"/>
      <c r="F69" s="13"/>
      <c r="G69" s="14"/>
      <c r="H69" s="15"/>
      <c r="I69" s="15"/>
      <c r="J69" s="15"/>
      <c r="K69" s="22"/>
      <c r="L69" s="14"/>
      <c r="M69" s="15"/>
      <c r="N69" s="15"/>
      <c r="O69" s="15"/>
      <c r="P69" s="22"/>
      <c r="Q69" s="14"/>
      <c r="R69" s="15"/>
      <c r="S69" s="15"/>
      <c r="T69" s="15"/>
      <c r="U69" s="22"/>
      <c r="V69" s="14"/>
      <c r="W69" s="15"/>
      <c r="X69" s="15"/>
      <c r="Y69" s="15"/>
      <c r="Z69" s="22"/>
      <c r="AA69" s="90"/>
      <c r="AB69" s="15"/>
      <c r="AC69" s="15"/>
      <c r="AD69" s="15"/>
      <c r="AE69" s="22"/>
      <c r="AF69" s="118" t="str">
        <f t="shared" si="5"/>
        <v/>
      </c>
      <c r="AG69" s="119" t="str">
        <f t="shared" si="6"/>
        <v/>
      </c>
      <c r="AH69" s="144"/>
      <c r="AI69" s="145"/>
      <c r="AJ69" s="145"/>
      <c r="AK69" s="145"/>
      <c r="AL69" s="145"/>
      <c r="AM69" s="146"/>
      <c r="AN69" s="30" cm="1">
        <f t="array" ref="AN69">IF(ISNUMBER(SEARCH(REPT("A",5),
_xlfn.TEXTJOIN("",TRUE,
  IF(G69:AE69="A","A",
     IF(G67:AE67="","",
        "x"
     )
  )
))),1,0)</f>
        <v>0</v>
      </c>
    </row>
    <row r="70" spans="1:40" ht="21.9" customHeight="1" x14ac:dyDescent="0.3">
      <c r="A70" s="47" t="str">
        <f t="shared" si="4"/>
        <v/>
      </c>
      <c r="B70" s="20"/>
      <c r="C70" s="13"/>
      <c r="D70" s="13"/>
      <c r="E70" s="13"/>
      <c r="F70" s="13"/>
      <c r="G70" s="14"/>
      <c r="H70" s="15"/>
      <c r="I70" s="15"/>
      <c r="J70" s="15"/>
      <c r="K70" s="22"/>
      <c r="L70" s="14"/>
      <c r="M70" s="15"/>
      <c r="N70" s="15"/>
      <c r="O70" s="15"/>
      <c r="P70" s="22"/>
      <c r="Q70" s="14"/>
      <c r="R70" s="15"/>
      <c r="S70" s="15"/>
      <c r="T70" s="15"/>
      <c r="U70" s="22"/>
      <c r="V70" s="14"/>
      <c r="W70" s="15"/>
      <c r="X70" s="15"/>
      <c r="Y70" s="15"/>
      <c r="Z70" s="22"/>
      <c r="AA70" s="90"/>
      <c r="AB70" s="15"/>
      <c r="AC70" s="15"/>
      <c r="AD70" s="15"/>
      <c r="AE70" s="22"/>
      <c r="AF70" s="118" t="str">
        <f t="shared" si="5"/>
        <v/>
      </c>
      <c r="AG70" s="119" t="str">
        <f t="shared" si="6"/>
        <v/>
      </c>
      <c r="AH70" s="144"/>
      <c r="AI70" s="145"/>
      <c r="AJ70" s="145"/>
      <c r="AK70" s="145"/>
      <c r="AL70" s="145"/>
      <c r="AM70" s="146"/>
      <c r="AN70" s="30" cm="1">
        <f t="array" ref="AN70">IF(ISNUMBER(SEARCH(REPT("A",5),
_xlfn.TEXTJOIN("",TRUE,
  IF(G70:AE70="A","A",
     IF(G68:AE68="","",
        "x"
     )
  )
))),1,0)</f>
        <v>0</v>
      </c>
    </row>
    <row r="71" spans="1:40" ht="21.9" customHeight="1" x14ac:dyDescent="0.3">
      <c r="A71" s="47" t="str">
        <f t="shared" si="4"/>
        <v/>
      </c>
      <c r="B71" s="20"/>
      <c r="C71" s="13"/>
      <c r="D71" s="13"/>
      <c r="E71" s="13"/>
      <c r="F71" s="13"/>
      <c r="G71" s="14"/>
      <c r="H71" s="15"/>
      <c r="I71" s="15"/>
      <c r="J71" s="15"/>
      <c r="K71" s="22"/>
      <c r="L71" s="14"/>
      <c r="M71" s="15"/>
      <c r="N71" s="15"/>
      <c r="O71" s="15"/>
      <c r="P71" s="22"/>
      <c r="Q71" s="14"/>
      <c r="R71" s="15"/>
      <c r="S71" s="15"/>
      <c r="T71" s="15"/>
      <c r="U71" s="22"/>
      <c r="V71" s="14"/>
      <c r="W71" s="15"/>
      <c r="X71" s="15"/>
      <c r="Y71" s="15"/>
      <c r="Z71" s="22"/>
      <c r="AA71" s="90"/>
      <c r="AB71" s="15"/>
      <c r="AC71" s="15"/>
      <c r="AD71" s="15"/>
      <c r="AE71" s="22"/>
      <c r="AF71" s="118" t="str">
        <f t="shared" si="5"/>
        <v/>
      </c>
      <c r="AG71" s="119" t="str">
        <f t="shared" si="6"/>
        <v/>
      </c>
      <c r="AH71" s="144"/>
      <c r="AI71" s="145"/>
      <c r="AJ71" s="145"/>
      <c r="AK71" s="145"/>
      <c r="AL71" s="145"/>
      <c r="AM71" s="146"/>
      <c r="AN71" s="30" cm="1">
        <f t="array" ref="AN71">IF(ISNUMBER(SEARCH(REPT("A",5),
_xlfn.TEXTJOIN("",TRUE,
  IF(G71:AE71="A","A",
     IF(G69:AE69="","",
        "x"
     )
  )
))),1,0)</f>
        <v>0</v>
      </c>
    </row>
    <row r="72" spans="1:40" ht="21.9" customHeight="1" x14ac:dyDescent="0.3">
      <c r="A72" s="47" t="str">
        <f t="shared" si="4"/>
        <v/>
      </c>
      <c r="B72" s="20"/>
      <c r="C72" s="13"/>
      <c r="D72" s="13"/>
      <c r="E72" s="13"/>
      <c r="F72" s="13"/>
      <c r="G72" s="14"/>
      <c r="H72" s="15"/>
      <c r="I72" s="15"/>
      <c r="J72" s="15"/>
      <c r="K72" s="22"/>
      <c r="L72" s="14"/>
      <c r="M72" s="15"/>
      <c r="N72" s="15"/>
      <c r="O72" s="15"/>
      <c r="P72" s="22"/>
      <c r="Q72" s="14"/>
      <c r="R72" s="15"/>
      <c r="S72" s="15"/>
      <c r="T72" s="15"/>
      <c r="U72" s="22"/>
      <c r="V72" s="14"/>
      <c r="W72" s="15"/>
      <c r="X72" s="15"/>
      <c r="Y72" s="15"/>
      <c r="Z72" s="22"/>
      <c r="AA72" s="90"/>
      <c r="AB72" s="15"/>
      <c r="AC72" s="15"/>
      <c r="AD72" s="15"/>
      <c r="AE72" s="22"/>
      <c r="AF72" s="118" t="str">
        <f t="shared" si="5"/>
        <v/>
      </c>
      <c r="AG72" s="119" t="str">
        <f t="shared" si="6"/>
        <v/>
      </c>
      <c r="AH72" s="144"/>
      <c r="AI72" s="145"/>
      <c r="AJ72" s="145"/>
      <c r="AK72" s="145"/>
      <c r="AL72" s="145"/>
      <c r="AM72" s="146"/>
      <c r="AN72" s="30" cm="1">
        <f t="array" ref="AN72">IF(ISNUMBER(SEARCH(REPT("A",5),
_xlfn.TEXTJOIN("",TRUE,
  IF(G72:AE72="A","A",
     IF(G70:AE70="","",
        "x"
     )
  )
))),1,0)</f>
        <v>0</v>
      </c>
    </row>
    <row r="73" spans="1:40" ht="21.9" customHeight="1" x14ac:dyDescent="0.3">
      <c r="A73" s="47" t="str">
        <f t="shared" si="4"/>
        <v/>
      </c>
      <c r="B73" s="20"/>
      <c r="C73" s="13"/>
      <c r="D73" s="13"/>
      <c r="E73" s="13"/>
      <c r="F73" s="13"/>
      <c r="G73" s="14"/>
      <c r="H73" s="15"/>
      <c r="I73" s="15"/>
      <c r="J73" s="15"/>
      <c r="K73" s="22"/>
      <c r="L73" s="14"/>
      <c r="M73" s="15"/>
      <c r="N73" s="15"/>
      <c r="O73" s="15"/>
      <c r="P73" s="22"/>
      <c r="Q73" s="14"/>
      <c r="R73" s="15"/>
      <c r="S73" s="15"/>
      <c r="T73" s="15"/>
      <c r="U73" s="22"/>
      <c r="V73" s="14"/>
      <c r="W73" s="15"/>
      <c r="X73" s="15"/>
      <c r="Y73" s="15"/>
      <c r="Z73" s="22"/>
      <c r="AA73" s="90"/>
      <c r="AB73" s="15"/>
      <c r="AC73" s="15"/>
      <c r="AD73" s="15"/>
      <c r="AE73" s="22"/>
      <c r="AF73" s="118" t="str">
        <f t="shared" si="5"/>
        <v/>
      </c>
      <c r="AG73" s="119" t="str">
        <f t="shared" si="6"/>
        <v/>
      </c>
      <c r="AH73" s="144"/>
      <c r="AI73" s="145"/>
      <c r="AJ73" s="145"/>
      <c r="AK73" s="145"/>
      <c r="AL73" s="145"/>
      <c r="AM73" s="146"/>
      <c r="AN73" s="30" cm="1">
        <f t="array" ref="AN73">IF(ISNUMBER(SEARCH(REPT("A",5),
_xlfn.TEXTJOIN("",TRUE,
  IF(G73:AE73="A","A",
     IF(G71:AE71="","",
        "x"
     )
  )
))),1,0)</f>
        <v>0</v>
      </c>
    </row>
    <row r="74" spans="1:40" ht="21.9" customHeight="1" x14ac:dyDescent="0.3">
      <c r="A74" s="47" t="str">
        <f t="shared" si="4"/>
        <v/>
      </c>
      <c r="B74" s="20"/>
      <c r="C74" s="13"/>
      <c r="D74" s="13"/>
      <c r="E74" s="13"/>
      <c r="F74" s="13"/>
      <c r="G74" s="14"/>
      <c r="H74" s="15"/>
      <c r="I74" s="15"/>
      <c r="J74" s="15"/>
      <c r="K74" s="22"/>
      <c r="L74" s="14"/>
      <c r="M74" s="15"/>
      <c r="N74" s="15"/>
      <c r="O74" s="15"/>
      <c r="P74" s="22"/>
      <c r="Q74" s="14"/>
      <c r="R74" s="15"/>
      <c r="S74" s="15"/>
      <c r="T74" s="15"/>
      <c r="U74" s="22"/>
      <c r="V74" s="14"/>
      <c r="W74" s="15"/>
      <c r="X74" s="15"/>
      <c r="Y74" s="15"/>
      <c r="Z74" s="22"/>
      <c r="AA74" s="90"/>
      <c r="AB74" s="15"/>
      <c r="AC74" s="15"/>
      <c r="AD74" s="15"/>
      <c r="AE74" s="22"/>
      <c r="AF74" s="118" t="str">
        <f t="shared" si="5"/>
        <v/>
      </c>
      <c r="AG74" s="119" t="str">
        <f t="shared" si="6"/>
        <v/>
      </c>
      <c r="AH74" s="144"/>
      <c r="AI74" s="145"/>
      <c r="AJ74" s="145"/>
      <c r="AK74" s="145"/>
      <c r="AL74" s="145"/>
      <c r="AM74" s="146"/>
      <c r="AN74" s="30" cm="1">
        <f t="array" ref="AN74">IF(ISNUMBER(SEARCH(REPT("A",5),
_xlfn.TEXTJOIN("",TRUE,
  IF(G74:AE74="A","A",
     IF(G72:AE72="","",
        "x"
     )
  )
))),1,0)</f>
        <v>0</v>
      </c>
    </row>
    <row r="75" spans="1:40" ht="21.9" customHeight="1" x14ac:dyDescent="0.3">
      <c r="A75" s="47" t="str">
        <f t="shared" si="4"/>
        <v/>
      </c>
      <c r="B75" s="20"/>
      <c r="C75" s="9"/>
      <c r="D75" s="9"/>
      <c r="E75" s="9"/>
      <c r="F75" s="9"/>
      <c r="G75" s="14"/>
      <c r="H75" s="15"/>
      <c r="I75" s="15"/>
      <c r="J75" s="15"/>
      <c r="K75" s="22"/>
      <c r="L75" s="14"/>
      <c r="M75" s="15"/>
      <c r="N75" s="15"/>
      <c r="O75" s="15"/>
      <c r="P75" s="22"/>
      <c r="Q75" s="14"/>
      <c r="R75" s="15"/>
      <c r="S75" s="15"/>
      <c r="T75" s="15"/>
      <c r="U75" s="22"/>
      <c r="V75" s="14"/>
      <c r="W75" s="15"/>
      <c r="X75" s="15"/>
      <c r="Y75" s="15"/>
      <c r="Z75" s="22"/>
      <c r="AA75" s="90"/>
      <c r="AB75" s="15"/>
      <c r="AC75" s="15"/>
      <c r="AD75" s="15"/>
      <c r="AE75" s="22"/>
      <c r="AF75" s="118" t="str">
        <f t="shared" si="5"/>
        <v/>
      </c>
      <c r="AG75" s="119" t="str">
        <f t="shared" si="6"/>
        <v/>
      </c>
      <c r="AH75" s="144"/>
      <c r="AI75" s="145"/>
      <c r="AJ75" s="145"/>
      <c r="AK75" s="145"/>
      <c r="AL75" s="145"/>
      <c r="AM75" s="146"/>
      <c r="AN75" s="30" cm="1">
        <f t="array" ref="AN75">IF(ISNUMBER(SEARCH(REPT("A",5),
_xlfn.TEXTJOIN("",TRUE,
  IF(G75:AE75="A","A",
     IF(G73:AE73="","",
        "x"
     )
  )
))),1,0)</f>
        <v>0</v>
      </c>
    </row>
    <row r="76" spans="1:40" ht="21.9" customHeight="1" x14ac:dyDescent="0.3">
      <c r="A76" s="47" t="str">
        <f t="shared" si="4"/>
        <v/>
      </c>
      <c r="B76" s="20"/>
      <c r="C76" s="9"/>
      <c r="D76" s="9"/>
      <c r="E76" s="9"/>
      <c r="F76" s="9"/>
      <c r="G76" s="14"/>
      <c r="H76" s="15"/>
      <c r="I76" s="15"/>
      <c r="J76" s="15"/>
      <c r="K76" s="22"/>
      <c r="L76" s="14"/>
      <c r="M76" s="15"/>
      <c r="N76" s="15"/>
      <c r="O76" s="15"/>
      <c r="P76" s="22"/>
      <c r="Q76" s="14"/>
      <c r="R76" s="15"/>
      <c r="S76" s="15"/>
      <c r="T76" s="15"/>
      <c r="U76" s="22"/>
      <c r="V76" s="14"/>
      <c r="W76" s="15"/>
      <c r="X76" s="15"/>
      <c r="Y76" s="15"/>
      <c r="Z76" s="22"/>
      <c r="AA76" s="90"/>
      <c r="AB76" s="15"/>
      <c r="AC76" s="15"/>
      <c r="AD76" s="15"/>
      <c r="AE76" s="22"/>
      <c r="AF76" s="118" t="str">
        <f t="shared" si="5"/>
        <v/>
      </c>
      <c r="AG76" s="119" t="str">
        <f t="shared" si="6"/>
        <v/>
      </c>
      <c r="AH76" s="144"/>
      <c r="AI76" s="145"/>
      <c r="AJ76" s="145"/>
      <c r="AK76" s="145"/>
      <c r="AL76" s="145"/>
      <c r="AM76" s="146"/>
      <c r="AN76" s="30" cm="1">
        <f t="array" ref="AN76">IF(ISNUMBER(SEARCH(REPT("A",5),
_xlfn.TEXTJOIN("",TRUE,
  IF(G76:AE76="A","A",
     IF(G74:AE74="","",
        "x"
     )
  )
))),1,0)</f>
        <v>0</v>
      </c>
    </row>
    <row r="77" spans="1:40" ht="21.9" customHeight="1" x14ac:dyDescent="0.3">
      <c r="A77" s="47" t="str">
        <f t="shared" si="4"/>
        <v/>
      </c>
      <c r="B77" s="20"/>
      <c r="C77" s="9"/>
      <c r="D77" s="9"/>
      <c r="E77" s="9"/>
      <c r="F77" s="9"/>
      <c r="G77" s="14"/>
      <c r="H77" s="15"/>
      <c r="I77" s="15"/>
      <c r="J77" s="15"/>
      <c r="K77" s="22"/>
      <c r="L77" s="14"/>
      <c r="M77" s="15"/>
      <c r="N77" s="15"/>
      <c r="O77" s="15"/>
      <c r="P77" s="22"/>
      <c r="Q77" s="14"/>
      <c r="R77" s="15"/>
      <c r="S77" s="15"/>
      <c r="T77" s="15"/>
      <c r="U77" s="22"/>
      <c r="V77" s="14"/>
      <c r="W77" s="15"/>
      <c r="X77" s="15"/>
      <c r="Y77" s="15"/>
      <c r="Z77" s="22"/>
      <c r="AA77" s="90"/>
      <c r="AB77" s="15"/>
      <c r="AC77" s="15"/>
      <c r="AD77" s="15"/>
      <c r="AE77" s="22"/>
      <c r="AF77" s="118" t="str">
        <f t="shared" si="5"/>
        <v/>
      </c>
      <c r="AG77" s="119" t="str">
        <f t="shared" si="6"/>
        <v/>
      </c>
      <c r="AH77" s="144"/>
      <c r="AI77" s="145"/>
      <c r="AJ77" s="145"/>
      <c r="AK77" s="145"/>
      <c r="AL77" s="145"/>
      <c r="AM77" s="146"/>
      <c r="AN77" s="30" cm="1">
        <f t="array" ref="AN77">IF(ISNUMBER(SEARCH(REPT("A",5),
_xlfn.TEXTJOIN("",TRUE,
  IF(G77:AE77="A","A",
     IF(G75:AE75="","",
        "x"
     )
  )
))),1,0)</f>
        <v>0</v>
      </c>
    </row>
    <row r="78" spans="1:40" ht="21.9" customHeight="1" x14ac:dyDescent="0.3">
      <c r="A78" s="47" t="str">
        <f t="shared" si="4"/>
        <v/>
      </c>
      <c r="B78" s="20"/>
      <c r="C78" s="9"/>
      <c r="D78" s="9"/>
      <c r="E78" s="9"/>
      <c r="F78" s="9"/>
      <c r="G78" s="14"/>
      <c r="H78" s="15"/>
      <c r="I78" s="15"/>
      <c r="J78" s="15"/>
      <c r="K78" s="22"/>
      <c r="L78" s="14"/>
      <c r="M78" s="15"/>
      <c r="N78" s="15"/>
      <c r="O78" s="15"/>
      <c r="P78" s="22"/>
      <c r="Q78" s="14"/>
      <c r="R78" s="15"/>
      <c r="S78" s="15"/>
      <c r="T78" s="15"/>
      <c r="U78" s="22"/>
      <c r="V78" s="14"/>
      <c r="W78" s="15"/>
      <c r="X78" s="15"/>
      <c r="Y78" s="15"/>
      <c r="Z78" s="22"/>
      <c r="AA78" s="90"/>
      <c r="AB78" s="15"/>
      <c r="AC78" s="15"/>
      <c r="AD78" s="15"/>
      <c r="AE78" s="22"/>
      <c r="AF78" s="118" t="str">
        <f t="shared" si="5"/>
        <v/>
      </c>
      <c r="AG78" s="119" t="str">
        <f t="shared" si="6"/>
        <v/>
      </c>
      <c r="AH78" s="144"/>
      <c r="AI78" s="145"/>
      <c r="AJ78" s="145"/>
      <c r="AK78" s="145"/>
      <c r="AL78" s="145"/>
      <c r="AM78" s="146"/>
      <c r="AN78" s="30" cm="1">
        <f t="array" ref="AN78">IF(ISNUMBER(SEARCH(REPT("A",5),
_xlfn.TEXTJOIN("",TRUE,
  IF(G78:AE78="A","A",
     IF(G76:AE76="","",
        "x"
     )
  )
))),1,0)</f>
        <v>0</v>
      </c>
    </row>
    <row r="79" spans="1:40" ht="21.9" customHeight="1" x14ac:dyDescent="0.3">
      <c r="A79" s="47" t="str">
        <f t="shared" si="4"/>
        <v/>
      </c>
      <c r="B79" s="20"/>
      <c r="C79" s="9"/>
      <c r="D79" s="9"/>
      <c r="E79" s="9"/>
      <c r="F79" s="9"/>
      <c r="G79" s="14"/>
      <c r="H79" s="15"/>
      <c r="I79" s="15"/>
      <c r="J79" s="15"/>
      <c r="K79" s="22"/>
      <c r="L79" s="14"/>
      <c r="M79" s="15"/>
      <c r="N79" s="15"/>
      <c r="O79" s="15"/>
      <c r="P79" s="22"/>
      <c r="Q79" s="14"/>
      <c r="R79" s="15"/>
      <c r="S79" s="15"/>
      <c r="T79" s="15"/>
      <c r="U79" s="22"/>
      <c r="V79" s="14"/>
      <c r="W79" s="15"/>
      <c r="X79" s="15"/>
      <c r="Y79" s="15"/>
      <c r="Z79" s="22"/>
      <c r="AA79" s="90"/>
      <c r="AB79" s="15"/>
      <c r="AC79" s="15"/>
      <c r="AD79" s="15"/>
      <c r="AE79" s="22"/>
      <c r="AF79" s="118" t="str">
        <f t="shared" si="5"/>
        <v/>
      </c>
      <c r="AG79" s="119" t="str">
        <f t="shared" si="6"/>
        <v/>
      </c>
      <c r="AH79" s="144"/>
      <c r="AI79" s="145"/>
      <c r="AJ79" s="145"/>
      <c r="AK79" s="145"/>
      <c r="AL79" s="145"/>
      <c r="AM79" s="146"/>
      <c r="AN79" s="30" cm="1">
        <f t="array" ref="AN79">IF(ISNUMBER(SEARCH(REPT("A",5),
_xlfn.TEXTJOIN("",TRUE,
  IF(G79:AE79="A","A",
     IF(G77:AE77="","",
        "x"
     )
  )
))),1,0)</f>
        <v>0</v>
      </c>
    </row>
    <row r="80" spans="1:40" ht="21.9" customHeight="1" x14ac:dyDescent="0.3">
      <c r="A80" s="47" t="str">
        <f t="shared" si="4"/>
        <v/>
      </c>
      <c r="B80" s="20"/>
      <c r="C80" s="9"/>
      <c r="D80" s="9"/>
      <c r="E80" s="9"/>
      <c r="F80" s="9"/>
      <c r="G80" s="14"/>
      <c r="H80" s="15"/>
      <c r="I80" s="15"/>
      <c r="J80" s="15"/>
      <c r="K80" s="22"/>
      <c r="L80" s="14"/>
      <c r="M80" s="15"/>
      <c r="N80" s="15"/>
      <c r="O80" s="15"/>
      <c r="P80" s="22"/>
      <c r="Q80" s="14"/>
      <c r="R80" s="15"/>
      <c r="S80" s="15"/>
      <c r="T80" s="15"/>
      <c r="U80" s="22"/>
      <c r="V80" s="14"/>
      <c r="W80" s="15"/>
      <c r="X80" s="15"/>
      <c r="Y80" s="15"/>
      <c r="Z80" s="22"/>
      <c r="AA80" s="90"/>
      <c r="AB80" s="15"/>
      <c r="AC80" s="15"/>
      <c r="AD80" s="15"/>
      <c r="AE80" s="22"/>
      <c r="AF80" s="118" t="str">
        <f t="shared" si="5"/>
        <v/>
      </c>
      <c r="AG80" s="119" t="str">
        <f t="shared" si="6"/>
        <v/>
      </c>
      <c r="AH80" s="144"/>
      <c r="AI80" s="145"/>
      <c r="AJ80" s="145"/>
      <c r="AK80" s="145"/>
      <c r="AL80" s="145"/>
      <c r="AM80" s="146"/>
      <c r="AN80" s="30" cm="1">
        <f t="array" ref="AN80">IF(ISNUMBER(SEARCH(REPT("A",5),
_xlfn.TEXTJOIN("",TRUE,
  IF(G80:AE80="A","A",
     IF(G78:AE78="","",
        "x"
     )
  )
))),1,0)</f>
        <v>0</v>
      </c>
    </row>
    <row r="81" spans="1:40" ht="21.9" customHeight="1" x14ac:dyDescent="0.3">
      <c r="A81" s="47" t="str">
        <f t="shared" si="4"/>
        <v/>
      </c>
      <c r="B81" s="20"/>
      <c r="C81" s="9"/>
      <c r="D81" s="9"/>
      <c r="E81" s="9"/>
      <c r="F81" s="9"/>
      <c r="G81" s="14"/>
      <c r="H81" s="15"/>
      <c r="I81" s="15"/>
      <c r="J81" s="15"/>
      <c r="K81" s="22"/>
      <c r="L81" s="14"/>
      <c r="M81" s="15"/>
      <c r="N81" s="15"/>
      <c r="O81" s="15"/>
      <c r="P81" s="22"/>
      <c r="Q81" s="14"/>
      <c r="R81" s="15"/>
      <c r="S81" s="15"/>
      <c r="T81" s="15"/>
      <c r="U81" s="22"/>
      <c r="V81" s="14"/>
      <c r="W81" s="15"/>
      <c r="X81" s="15"/>
      <c r="Y81" s="15"/>
      <c r="Z81" s="22"/>
      <c r="AA81" s="90"/>
      <c r="AB81" s="15"/>
      <c r="AC81" s="15"/>
      <c r="AD81" s="15"/>
      <c r="AE81" s="22"/>
      <c r="AF81" s="118" t="str">
        <f t="shared" si="5"/>
        <v/>
      </c>
      <c r="AG81" s="119" t="str">
        <f t="shared" si="6"/>
        <v/>
      </c>
      <c r="AH81" s="144"/>
      <c r="AI81" s="145"/>
      <c r="AJ81" s="145"/>
      <c r="AK81" s="145"/>
      <c r="AL81" s="145"/>
      <c r="AM81" s="146"/>
      <c r="AN81" s="30" cm="1">
        <f t="array" ref="AN81">IF(ISNUMBER(SEARCH(REPT("A",5),
_xlfn.TEXTJOIN("",TRUE,
  IF(G81:AE81="A","A",
     IF(G79:AE79="","",
        "x"
     )
  )
))),1,0)</f>
        <v>0</v>
      </c>
    </row>
    <row r="82" spans="1:40" ht="21.9" customHeight="1" x14ac:dyDescent="0.3">
      <c r="A82" s="47" t="str">
        <f t="shared" si="4"/>
        <v/>
      </c>
      <c r="B82" s="20"/>
      <c r="C82" s="9"/>
      <c r="D82" s="9"/>
      <c r="E82" s="9"/>
      <c r="F82" s="9"/>
      <c r="G82" s="14"/>
      <c r="H82" s="15"/>
      <c r="I82" s="15"/>
      <c r="J82" s="15"/>
      <c r="K82" s="22"/>
      <c r="L82" s="14"/>
      <c r="M82" s="15"/>
      <c r="N82" s="15"/>
      <c r="O82" s="15"/>
      <c r="P82" s="22"/>
      <c r="Q82" s="14"/>
      <c r="R82" s="15"/>
      <c r="S82" s="15"/>
      <c r="T82" s="15"/>
      <c r="U82" s="22"/>
      <c r="V82" s="14"/>
      <c r="W82" s="15"/>
      <c r="X82" s="15"/>
      <c r="Y82" s="15"/>
      <c r="Z82" s="22"/>
      <c r="AA82" s="90"/>
      <c r="AB82" s="15"/>
      <c r="AC82" s="15"/>
      <c r="AD82" s="15"/>
      <c r="AE82" s="22"/>
      <c r="AF82" s="118" t="str">
        <f t="shared" si="5"/>
        <v/>
      </c>
      <c r="AG82" s="119" t="str">
        <f t="shared" si="6"/>
        <v/>
      </c>
      <c r="AH82" s="144"/>
      <c r="AI82" s="145"/>
      <c r="AJ82" s="145"/>
      <c r="AK82" s="145"/>
      <c r="AL82" s="145"/>
      <c r="AM82" s="146"/>
      <c r="AN82" s="30" cm="1">
        <f t="array" ref="AN82">IF(ISNUMBER(SEARCH(REPT("A",5),
_xlfn.TEXTJOIN("",TRUE,
  IF(G82:AE82="A","A",
     IF(G80:AE80="","",
        "x"
     )
  )
))),1,0)</f>
        <v>0</v>
      </c>
    </row>
    <row r="83" spans="1:40" ht="21.9" customHeight="1" x14ac:dyDescent="0.3">
      <c r="A83" s="47" t="str">
        <f t="shared" si="4"/>
        <v/>
      </c>
      <c r="B83" s="20"/>
      <c r="C83" s="13"/>
      <c r="D83" s="13"/>
      <c r="E83" s="13"/>
      <c r="F83" s="13"/>
      <c r="G83" s="14"/>
      <c r="H83" s="15"/>
      <c r="I83" s="15"/>
      <c r="J83" s="15"/>
      <c r="K83" s="22"/>
      <c r="L83" s="14"/>
      <c r="M83" s="15"/>
      <c r="N83" s="15"/>
      <c r="O83" s="15"/>
      <c r="P83" s="22"/>
      <c r="Q83" s="14"/>
      <c r="R83" s="15"/>
      <c r="S83" s="15"/>
      <c r="T83" s="15"/>
      <c r="U83" s="22"/>
      <c r="V83" s="14"/>
      <c r="W83" s="15"/>
      <c r="X83" s="15"/>
      <c r="Y83" s="15"/>
      <c r="Z83" s="22"/>
      <c r="AA83" s="90"/>
      <c r="AB83" s="15"/>
      <c r="AC83" s="15"/>
      <c r="AD83" s="15"/>
      <c r="AE83" s="22"/>
      <c r="AF83" s="118" t="str">
        <f t="shared" si="5"/>
        <v/>
      </c>
      <c r="AG83" s="119" t="str">
        <f t="shared" si="6"/>
        <v/>
      </c>
      <c r="AH83" s="144"/>
      <c r="AI83" s="145"/>
      <c r="AJ83" s="145"/>
      <c r="AK83" s="145"/>
      <c r="AL83" s="145"/>
      <c r="AM83" s="146"/>
      <c r="AN83" s="30" cm="1">
        <f t="array" ref="AN83">IF(ISNUMBER(SEARCH(REPT("A",5),
_xlfn.TEXTJOIN("",TRUE,
  IF(G83:AE83="A","A",
     IF(G81:AE81="","",
        "x"
     )
  )
))),1,0)</f>
        <v>0</v>
      </c>
    </row>
    <row r="84" spans="1:40" ht="21.9" customHeight="1" x14ac:dyDescent="0.3">
      <c r="A84" s="47" t="str">
        <f t="shared" si="4"/>
        <v/>
      </c>
      <c r="B84" s="20"/>
      <c r="C84" s="13"/>
      <c r="D84" s="13"/>
      <c r="E84" s="13"/>
      <c r="F84" s="13"/>
      <c r="G84" s="14"/>
      <c r="H84" s="15"/>
      <c r="I84" s="15"/>
      <c r="J84" s="15"/>
      <c r="K84" s="22"/>
      <c r="L84" s="14"/>
      <c r="M84" s="15"/>
      <c r="N84" s="15"/>
      <c r="O84" s="15"/>
      <c r="P84" s="22"/>
      <c r="Q84" s="14"/>
      <c r="R84" s="15"/>
      <c r="S84" s="15"/>
      <c r="T84" s="15"/>
      <c r="U84" s="22"/>
      <c r="V84" s="14"/>
      <c r="W84" s="15"/>
      <c r="X84" s="15"/>
      <c r="Y84" s="15"/>
      <c r="Z84" s="22"/>
      <c r="AA84" s="90"/>
      <c r="AB84" s="15"/>
      <c r="AC84" s="15"/>
      <c r="AD84" s="15"/>
      <c r="AE84" s="22"/>
      <c r="AF84" s="118" t="str">
        <f t="shared" si="5"/>
        <v/>
      </c>
      <c r="AG84" s="119" t="str">
        <f t="shared" si="6"/>
        <v/>
      </c>
      <c r="AH84" s="144"/>
      <c r="AI84" s="145"/>
      <c r="AJ84" s="145"/>
      <c r="AK84" s="145"/>
      <c r="AL84" s="145"/>
      <c r="AM84" s="146"/>
      <c r="AN84" s="30" cm="1">
        <f t="array" ref="AN84">IF(ISNUMBER(SEARCH(REPT("A",5),
_xlfn.TEXTJOIN("",TRUE,
  IF(G84:AE84="A","A",
     IF(G82:AE82="","",
        "x"
     )
  )
))),1,0)</f>
        <v>0</v>
      </c>
    </row>
    <row r="85" spans="1:40" ht="21.9" customHeight="1" x14ac:dyDescent="0.3">
      <c r="A85" s="47" t="str">
        <f t="shared" si="4"/>
        <v/>
      </c>
      <c r="B85" s="20"/>
      <c r="C85" s="13"/>
      <c r="D85" s="13"/>
      <c r="E85" s="13"/>
      <c r="F85" s="13"/>
      <c r="G85" s="14"/>
      <c r="H85" s="15"/>
      <c r="I85" s="15"/>
      <c r="J85" s="15"/>
      <c r="K85" s="22"/>
      <c r="L85" s="14"/>
      <c r="M85" s="15"/>
      <c r="N85" s="15"/>
      <c r="O85" s="15"/>
      <c r="P85" s="22"/>
      <c r="Q85" s="14"/>
      <c r="R85" s="15"/>
      <c r="S85" s="15"/>
      <c r="T85" s="15"/>
      <c r="U85" s="22"/>
      <c r="V85" s="14"/>
      <c r="W85" s="15"/>
      <c r="X85" s="15"/>
      <c r="Y85" s="15"/>
      <c r="Z85" s="22"/>
      <c r="AA85" s="90"/>
      <c r="AB85" s="15"/>
      <c r="AC85" s="15"/>
      <c r="AD85" s="15"/>
      <c r="AE85" s="22"/>
      <c r="AF85" s="118" t="str">
        <f t="shared" si="5"/>
        <v/>
      </c>
      <c r="AG85" s="119" t="str">
        <f t="shared" si="6"/>
        <v/>
      </c>
      <c r="AH85" s="144"/>
      <c r="AI85" s="145"/>
      <c r="AJ85" s="145"/>
      <c r="AK85" s="145"/>
      <c r="AL85" s="145"/>
      <c r="AM85" s="146"/>
      <c r="AN85" s="30" cm="1">
        <f t="array" ref="AN85">IF(ISNUMBER(SEARCH(REPT("A",5),
_xlfn.TEXTJOIN("",TRUE,
  IF(G85:AE85="A","A",
     IF(G83:AE83="","",
        "x"
     )
  )
))),1,0)</f>
        <v>0</v>
      </c>
    </row>
    <row r="86" spans="1:40" ht="21.9" customHeight="1" x14ac:dyDescent="0.3">
      <c r="A86" s="47" t="str">
        <f t="shared" si="4"/>
        <v/>
      </c>
      <c r="B86" s="20"/>
      <c r="C86" s="9"/>
      <c r="D86" s="9"/>
      <c r="E86" s="9"/>
      <c r="F86" s="9"/>
      <c r="G86" s="14"/>
      <c r="H86" s="15"/>
      <c r="I86" s="15"/>
      <c r="J86" s="15"/>
      <c r="K86" s="22"/>
      <c r="L86" s="14"/>
      <c r="M86" s="15"/>
      <c r="N86" s="15"/>
      <c r="O86" s="15"/>
      <c r="P86" s="22"/>
      <c r="Q86" s="14"/>
      <c r="R86" s="15"/>
      <c r="S86" s="15"/>
      <c r="T86" s="15"/>
      <c r="U86" s="22"/>
      <c r="V86" s="14"/>
      <c r="W86" s="15"/>
      <c r="X86" s="15"/>
      <c r="Y86" s="15"/>
      <c r="Z86" s="22"/>
      <c r="AA86" s="90"/>
      <c r="AB86" s="15"/>
      <c r="AC86" s="15"/>
      <c r="AD86" s="15"/>
      <c r="AE86" s="22"/>
      <c r="AF86" s="118" t="str">
        <f t="shared" si="5"/>
        <v/>
      </c>
      <c r="AG86" s="119" t="str">
        <f t="shared" si="6"/>
        <v/>
      </c>
      <c r="AH86" s="144"/>
      <c r="AI86" s="145"/>
      <c r="AJ86" s="145"/>
      <c r="AK86" s="145"/>
      <c r="AL86" s="145"/>
      <c r="AM86" s="146"/>
      <c r="AN86" s="30" cm="1">
        <f t="array" ref="AN86">IF(ISNUMBER(SEARCH(REPT("A",5),
_xlfn.TEXTJOIN("",TRUE,
  IF(G86:AE86="A","A",
     IF(G84:AE84="","",
        "x"
     )
  )
))),1,0)</f>
        <v>0</v>
      </c>
    </row>
    <row r="87" spans="1:40" ht="21.9" customHeight="1" x14ac:dyDescent="0.3">
      <c r="A87" s="47" t="str">
        <f t="shared" si="4"/>
        <v/>
      </c>
      <c r="B87" s="20"/>
      <c r="C87" s="9"/>
      <c r="D87" s="9"/>
      <c r="E87" s="9"/>
      <c r="F87" s="9"/>
      <c r="G87" s="14"/>
      <c r="H87" s="15"/>
      <c r="I87" s="15"/>
      <c r="J87" s="15"/>
      <c r="K87" s="22"/>
      <c r="L87" s="14"/>
      <c r="M87" s="15"/>
      <c r="N87" s="15"/>
      <c r="O87" s="15"/>
      <c r="P87" s="22"/>
      <c r="Q87" s="14"/>
      <c r="R87" s="15"/>
      <c r="S87" s="15"/>
      <c r="T87" s="15"/>
      <c r="U87" s="22"/>
      <c r="V87" s="14"/>
      <c r="W87" s="15"/>
      <c r="X87" s="15"/>
      <c r="Y87" s="15"/>
      <c r="Z87" s="22"/>
      <c r="AA87" s="90"/>
      <c r="AB87" s="15"/>
      <c r="AC87" s="15"/>
      <c r="AD87" s="15"/>
      <c r="AE87" s="22"/>
      <c r="AF87" s="118" t="str">
        <f t="shared" si="5"/>
        <v/>
      </c>
      <c r="AG87" s="119" t="str">
        <f t="shared" si="6"/>
        <v/>
      </c>
      <c r="AH87" s="144"/>
      <c r="AI87" s="145"/>
      <c r="AJ87" s="145"/>
      <c r="AK87" s="145"/>
      <c r="AL87" s="145"/>
      <c r="AM87" s="146"/>
      <c r="AN87" s="30" cm="1">
        <f t="array" ref="AN87">IF(ISNUMBER(SEARCH(REPT("A",5),
_xlfn.TEXTJOIN("",TRUE,
  IF(G87:AE87="A","A",
     IF(G85:AE85="","",
        "x"
     )
  )
))),1,0)</f>
        <v>0</v>
      </c>
    </row>
    <row r="88" spans="1:40" ht="21.9" customHeight="1" x14ac:dyDescent="0.3">
      <c r="A88" s="47" t="str">
        <f t="shared" si="4"/>
        <v/>
      </c>
      <c r="B88" s="20"/>
      <c r="C88" s="9"/>
      <c r="D88" s="9"/>
      <c r="E88" s="9"/>
      <c r="F88" s="9"/>
      <c r="G88" s="14"/>
      <c r="H88" s="15"/>
      <c r="I88" s="15"/>
      <c r="J88" s="15"/>
      <c r="K88" s="22"/>
      <c r="L88" s="14"/>
      <c r="M88" s="15"/>
      <c r="N88" s="15"/>
      <c r="O88" s="15"/>
      <c r="P88" s="22"/>
      <c r="Q88" s="14"/>
      <c r="R88" s="15"/>
      <c r="S88" s="15"/>
      <c r="T88" s="15"/>
      <c r="U88" s="22"/>
      <c r="V88" s="14"/>
      <c r="W88" s="15"/>
      <c r="X88" s="15"/>
      <c r="Y88" s="15"/>
      <c r="Z88" s="22"/>
      <c r="AA88" s="90"/>
      <c r="AB88" s="15"/>
      <c r="AC88" s="15"/>
      <c r="AD88" s="15"/>
      <c r="AE88" s="22"/>
      <c r="AF88" s="118" t="str">
        <f t="shared" si="5"/>
        <v/>
      </c>
      <c r="AG88" s="119" t="str">
        <f t="shared" si="6"/>
        <v/>
      </c>
      <c r="AH88" s="144"/>
      <c r="AI88" s="145"/>
      <c r="AJ88" s="145"/>
      <c r="AK88" s="145"/>
      <c r="AL88" s="145"/>
      <c r="AM88" s="146"/>
      <c r="AN88" s="30" cm="1">
        <f t="array" ref="AN88">IF(ISNUMBER(SEARCH(REPT("A",5),
_xlfn.TEXTJOIN("",TRUE,
  IF(G88:AE88="A","A",
     IF(G86:AE86="","",
        "x"
     )
  )
))),1,0)</f>
        <v>0</v>
      </c>
    </row>
    <row r="89" spans="1:40" ht="21.9" customHeight="1" x14ac:dyDescent="0.3">
      <c r="A89" s="47" t="str">
        <f t="shared" si="4"/>
        <v/>
      </c>
      <c r="B89" s="20"/>
      <c r="C89" s="9"/>
      <c r="D89" s="9"/>
      <c r="E89" s="9"/>
      <c r="F89" s="9"/>
      <c r="G89" s="14"/>
      <c r="H89" s="15"/>
      <c r="I89" s="15"/>
      <c r="J89" s="15"/>
      <c r="K89" s="22"/>
      <c r="L89" s="14"/>
      <c r="M89" s="15"/>
      <c r="N89" s="15"/>
      <c r="O89" s="15"/>
      <c r="P89" s="22"/>
      <c r="Q89" s="14"/>
      <c r="R89" s="15"/>
      <c r="S89" s="15"/>
      <c r="T89" s="15"/>
      <c r="U89" s="22"/>
      <c r="V89" s="14"/>
      <c r="W89" s="15"/>
      <c r="X89" s="15"/>
      <c r="Y89" s="15"/>
      <c r="Z89" s="22"/>
      <c r="AA89" s="90"/>
      <c r="AB89" s="15"/>
      <c r="AC89" s="15"/>
      <c r="AD89" s="15"/>
      <c r="AE89" s="22"/>
      <c r="AF89" s="118" t="str">
        <f t="shared" si="5"/>
        <v/>
      </c>
      <c r="AG89" s="119" t="str">
        <f t="shared" si="6"/>
        <v/>
      </c>
      <c r="AH89" s="144"/>
      <c r="AI89" s="145"/>
      <c r="AJ89" s="145"/>
      <c r="AK89" s="145"/>
      <c r="AL89" s="145"/>
      <c r="AM89" s="146"/>
      <c r="AN89" s="30" cm="1">
        <f t="array" ref="AN89">IF(ISNUMBER(SEARCH(REPT("A",5),
_xlfn.TEXTJOIN("",TRUE,
  IF(G89:AE89="A","A",
     IF(G87:AE87="","",
        "x"
     )
  )
))),1,0)</f>
        <v>0</v>
      </c>
    </row>
    <row r="90" spans="1:40" ht="21.9" customHeight="1" x14ac:dyDescent="0.3">
      <c r="A90" s="47" t="str">
        <f t="shared" si="4"/>
        <v/>
      </c>
      <c r="B90" s="20"/>
      <c r="C90" s="9"/>
      <c r="D90" s="9"/>
      <c r="E90" s="9"/>
      <c r="F90" s="9"/>
      <c r="G90" s="14"/>
      <c r="H90" s="15"/>
      <c r="I90" s="15"/>
      <c r="J90" s="15"/>
      <c r="K90" s="22"/>
      <c r="L90" s="14"/>
      <c r="M90" s="15"/>
      <c r="N90" s="15"/>
      <c r="O90" s="15"/>
      <c r="P90" s="22"/>
      <c r="Q90" s="14"/>
      <c r="R90" s="15"/>
      <c r="S90" s="15"/>
      <c r="T90" s="15"/>
      <c r="U90" s="22"/>
      <c r="V90" s="14"/>
      <c r="W90" s="15"/>
      <c r="X90" s="15"/>
      <c r="Y90" s="15"/>
      <c r="Z90" s="22"/>
      <c r="AA90" s="90"/>
      <c r="AB90" s="15"/>
      <c r="AC90" s="15"/>
      <c r="AD90" s="15"/>
      <c r="AE90" s="22"/>
      <c r="AF90" s="118" t="str">
        <f t="shared" si="5"/>
        <v/>
      </c>
      <c r="AG90" s="119" t="str">
        <f t="shared" si="6"/>
        <v/>
      </c>
      <c r="AH90" s="144"/>
      <c r="AI90" s="145"/>
      <c r="AJ90" s="145"/>
      <c r="AK90" s="145"/>
      <c r="AL90" s="145"/>
      <c r="AM90" s="146"/>
      <c r="AN90" s="30" cm="1">
        <f t="array" ref="AN90">IF(ISNUMBER(SEARCH(REPT("A",5),
_xlfn.TEXTJOIN("",TRUE,
  IF(G90:AE90="A","A",
     IF(G88:AE88="","",
        "x"
     )
  )
))),1,0)</f>
        <v>0</v>
      </c>
    </row>
    <row r="91" spans="1:40" ht="21.9" customHeight="1" x14ac:dyDescent="0.3">
      <c r="A91" s="47" t="str">
        <f t="shared" si="4"/>
        <v/>
      </c>
      <c r="B91" s="20"/>
      <c r="C91" s="9"/>
      <c r="D91" s="9"/>
      <c r="E91" s="9"/>
      <c r="F91" s="9"/>
      <c r="G91" s="14"/>
      <c r="H91" s="15"/>
      <c r="I91" s="15"/>
      <c r="J91" s="15"/>
      <c r="K91" s="22"/>
      <c r="L91" s="14"/>
      <c r="M91" s="15"/>
      <c r="N91" s="15"/>
      <c r="O91" s="15"/>
      <c r="P91" s="22"/>
      <c r="Q91" s="14"/>
      <c r="R91" s="15"/>
      <c r="S91" s="15"/>
      <c r="T91" s="15"/>
      <c r="U91" s="22"/>
      <c r="V91" s="14"/>
      <c r="W91" s="15"/>
      <c r="X91" s="15"/>
      <c r="Y91" s="15"/>
      <c r="Z91" s="22"/>
      <c r="AA91" s="90"/>
      <c r="AB91" s="15"/>
      <c r="AC91" s="15"/>
      <c r="AD91" s="15"/>
      <c r="AE91" s="22"/>
      <c r="AF91" s="118" t="str">
        <f t="shared" si="5"/>
        <v/>
      </c>
      <c r="AG91" s="119" t="str">
        <f t="shared" si="6"/>
        <v/>
      </c>
      <c r="AH91" s="144"/>
      <c r="AI91" s="145"/>
      <c r="AJ91" s="145"/>
      <c r="AK91" s="145"/>
      <c r="AL91" s="145"/>
      <c r="AM91" s="146"/>
      <c r="AN91" s="30" cm="1">
        <f t="array" ref="AN91">IF(ISNUMBER(SEARCH(REPT("A",5),
_xlfn.TEXTJOIN("",TRUE,
  IF(G91:AE91="A","A",
     IF(G89:AE89="","",
        "x"
     )
  )
))),1,0)</f>
        <v>0</v>
      </c>
    </row>
    <row r="92" spans="1:40" ht="21.9" customHeight="1" x14ac:dyDescent="0.3">
      <c r="A92" s="47" t="str">
        <f t="shared" si="4"/>
        <v/>
      </c>
      <c r="B92" s="20"/>
      <c r="C92" s="9"/>
      <c r="D92" s="9"/>
      <c r="E92" s="9"/>
      <c r="F92" s="9"/>
      <c r="G92" s="14"/>
      <c r="H92" s="15"/>
      <c r="I92" s="15"/>
      <c r="J92" s="15"/>
      <c r="K92" s="22"/>
      <c r="L92" s="14"/>
      <c r="M92" s="15"/>
      <c r="N92" s="15"/>
      <c r="O92" s="15"/>
      <c r="P92" s="22"/>
      <c r="Q92" s="14"/>
      <c r="R92" s="15"/>
      <c r="S92" s="15"/>
      <c r="T92" s="15"/>
      <c r="U92" s="22"/>
      <c r="V92" s="14"/>
      <c r="W92" s="15"/>
      <c r="X92" s="15"/>
      <c r="Y92" s="15"/>
      <c r="Z92" s="22"/>
      <c r="AA92" s="90"/>
      <c r="AB92" s="15"/>
      <c r="AC92" s="15"/>
      <c r="AD92" s="15"/>
      <c r="AE92" s="22"/>
      <c r="AF92" s="118" t="str">
        <f t="shared" si="5"/>
        <v/>
      </c>
      <c r="AG92" s="119" t="str">
        <f t="shared" si="6"/>
        <v/>
      </c>
      <c r="AH92" s="144"/>
      <c r="AI92" s="145"/>
      <c r="AJ92" s="145"/>
      <c r="AK92" s="145"/>
      <c r="AL92" s="145"/>
      <c r="AM92" s="146"/>
      <c r="AN92" s="30" cm="1">
        <f t="array" ref="AN92">IF(ISNUMBER(SEARCH(REPT("A",5),
_xlfn.TEXTJOIN("",TRUE,
  IF(G92:AE92="A","A",
     IF(G90:AE90="","",
        "x"
     )
  )
))),1,0)</f>
        <v>0</v>
      </c>
    </row>
    <row r="93" spans="1:40" ht="21.9" customHeight="1" thickBot="1" x14ac:dyDescent="0.35">
      <c r="A93" s="48" t="str">
        <f t="shared" si="4"/>
        <v/>
      </c>
      <c r="B93" s="18"/>
      <c r="C93" s="11"/>
      <c r="D93" s="11"/>
      <c r="E93" s="11"/>
      <c r="F93" s="11"/>
      <c r="G93" s="23"/>
      <c r="H93" s="24"/>
      <c r="I93" s="24"/>
      <c r="J93" s="24"/>
      <c r="K93" s="25"/>
      <c r="L93" s="23"/>
      <c r="M93" s="24"/>
      <c r="N93" s="24"/>
      <c r="O93" s="24"/>
      <c r="P93" s="25"/>
      <c r="Q93" s="23"/>
      <c r="R93" s="24"/>
      <c r="S93" s="24"/>
      <c r="T93" s="24"/>
      <c r="U93" s="25"/>
      <c r="V93" s="23"/>
      <c r="W93" s="24"/>
      <c r="X93" s="24"/>
      <c r="Y93" s="24"/>
      <c r="Z93" s="25"/>
      <c r="AA93" s="107"/>
      <c r="AB93" s="24"/>
      <c r="AC93" s="24"/>
      <c r="AD93" s="24"/>
      <c r="AE93" s="25"/>
      <c r="AF93" s="118" t="str">
        <f t="shared" si="5"/>
        <v/>
      </c>
      <c r="AG93" s="119" t="str">
        <f t="shared" si="6"/>
        <v/>
      </c>
      <c r="AH93" s="183"/>
      <c r="AI93" s="169"/>
      <c r="AJ93" s="169"/>
      <c r="AK93" s="169"/>
      <c r="AL93" s="169"/>
      <c r="AM93" s="170"/>
      <c r="AN93" s="30" cm="1">
        <f t="array" ref="AN93">IF(ISNUMBER(SEARCH(REPT("A",5),
_xlfn.TEXTJOIN("",TRUE,
  IF(G93:AE93="A","A",
     IF(G91:AE91="","",
        "x"
     )
  )
))),1,0)</f>
        <v>0</v>
      </c>
    </row>
    <row r="94" spans="1:40" ht="21.9" customHeight="1" thickBot="1" x14ac:dyDescent="0.35">
      <c r="A94" s="171" t="s">
        <v>85</v>
      </c>
      <c r="B94" s="172"/>
      <c r="C94" s="120"/>
      <c r="D94" s="120"/>
      <c r="E94" s="120"/>
      <c r="F94" s="120"/>
      <c r="G94" s="121" t="str">
        <f>IF(AND((40-COUNTBLANK($B$54:$B$93))&lt;&gt;0,G11&lt;&gt;""),40-COUNTBLANK($B$54:$B$93)-COUNTIF(G54:G93,"A"),"")</f>
        <v/>
      </c>
      <c r="H94" s="122" t="str">
        <f t="shared" ref="H94:AE94" si="7">IF(AND((40-COUNTBLANK($B$54:$B$93))&lt;&gt;0,H11&lt;&gt;""),40-COUNTBLANK($B$54:$B$93)-COUNTIF(H54:H93,"A"),"")</f>
        <v/>
      </c>
      <c r="I94" s="122" t="str">
        <f t="shared" si="7"/>
        <v/>
      </c>
      <c r="J94" s="122" t="str">
        <f t="shared" si="7"/>
        <v/>
      </c>
      <c r="K94" s="123" t="str">
        <f t="shared" si="7"/>
        <v/>
      </c>
      <c r="L94" s="124" t="str">
        <f t="shared" si="7"/>
        <v/>
      </c>
      <c r="M94" s="122" t="str">
        <f t="shared" si="7"/>
        <v/>
      </c>
      <c r="N94" s="122" t="str">
        <f t="shared" si="7"/>
        <v/>
      </c>
      <c r="O94" s="122" t="str">
        <f t="shared" si="7"/>
        <v/>
      </c>
      <c r="P94" s="123" t="str">
        <f t="shared" si="7"/>
        <v/>
      </c>
      <c r="Q94" s="124" t="str">
        <f t="shared" si="7"/>
        <v/>
      </c>
      <c r="R94" s="122" t="str">
        <f t="shared" si="7"/>
        <v/>
      </c>
      <c r="S94" s="122" t="str">
        <f t="shared" si="7"/>
        <v/>
      </c>
      <c r="T94" s="122" t="str">
        <f t="shared" si="7"/>
        <v/>
      </c>
      <c r="U94" s="123" t="str">
        <f t="shared" si="7"/>
        <v/>
      </c>
      <c r="V94" s="124" t="str">
        <f t="shared" si="7"/>
        <v/>
      </c>
      <c r="W94" s="122" t="str">
        <f t="shared" si="7"/>
        <v/>
      </c>
      <c r="X94" s="122" t="str">
        <f t="shared" si="7"/>
        <v/>
      </c>
      <c r="Y94" s="122" t="str">
        <f t="shared" si="7"/>
        <v/>
      </c>
      <c r="Z94" s="123" t="str">
        <f t="shared" si="7"/>
        <v/>
      </c>
      <c r="AA94" s="124" t="str">
        <f t="shared" si="7"/>
        <v/>
      </c>
      <c r="AB94" s="122" t="str">
        <f t="shared" si="7"/>
        <v/>
      </c>
      <c r="AC94" s="122" t="str">
        <f t="shared" si="7"/>
        <v/>
      </c>
      <c r="AD94" s="122" t="str">
        <f t="shared" si="7"/>
        <v/>
      </c>
      <c r="AE94" s="123" t="str">
        <f t="shared" si="7"/>
        <v/>
      </c>
      <c r="AF94" s="125">
        <f>SUM(AF54:AF93)</f>
        <v>0</v>
      </c>
      <c r="AG94" s="125">
        <f>SUM(AG54:AG93)</f>
        <v>0</v>
      </c>
      <c r="AH94" s="173"/>
      <c r="AI94" s="174"/>
      <c r="AJ94" s="174"/>
      <c r="AK94" s="174"/>
      <c r="AL94" s="174"/>
      <c r="AM94" s="175"/>
    </row>
    <row r="95" spans="1:40" ht="21.9" customHeight="1" thickBot="1" x14ac:dyDescent="0.35">
      <c r="A95" s="176" t="s">
        <v>84</v>
      </c>
      <c r="B95" s="177"/>
      <c r="C95" s="126"/>
      <c r="D95" s="126"/>
      <c r="E95" s="126"/>
      <c r="F95" s="127"/>
      <c r="G95" s="128" t="str">
        <f>IF(G11&lt;&gt;"",G94+G53,"")</f>
        <v/>
      </c>
      <c r="H95" s="129" t="str">
        <f t="shared" ref="H95:AE95" si="8">IF(H11&lt;&gt;"",H94+H53,"")</f>
        <v/>
      </c>
      <c r="I95" s="129" t="str">
        <f t="shared" si="8"/>
        <v/>
      </c>
      <c r="J95" s="129" t="str">
        <f t="shared" si="8"/>
        <v/>
      </c>
      <c r="K95" s="130" t="str">
        <f t="shared" si="8"/>
        <v/>
      </c>
      <c r="L95" s="128" t="str">
        <f t="shared" si="8"/>
        <v/>
      </c>
      <c r="M95" s="129" t="str">
        <f t="shared" si="8"/>
        <v/>
      </c>
      <c r="N95" s="129" t="str">
        <f t="shared" si="8"/>
        <v/>
      </c>
      <c r="O95" s="129" t="str">
        <f t="shared" si="8"/>
        <v/>
      </c>
      <c r="P95" s="130" t="str">
        <f t="shared" si="8"/>
        <v/>
      </c>
      <c r="Q95" s="128" t="str">
        <f t="shared" si="8"/>
        <v/>
      </c>
      <c r="R95" s="129" t="str">
        <f t="shared" si="8"/>
        <v/>
      </c>
      <c r="S95" s="129" t="str">
        <f t="shared" si="8"/>
        <v/>
      </c>
      <c r="T95" s="129" t="str">
        <f t="shared" si="8"/>
        <v/>
      </c>
      <c r="U95" s="130" t="str">
        <f t="shared" si="8"/>
        <v/>
      </c>
      <c r="V95" s="128" t="str">
        <f t="shared" si="8"/>
        <v/>
      </c>
      <c r="W95" s="129" t="str">
        <f t="shared" si="8"/>
        <v/>
      </c>
      <c r="X95" s="129" t="str">
        <f t="shared" si="8"/>
        <v/>
      </c>
      <c r="Y95" s="129" t="str">
        <f t="shared" si="8"/>
        <v/>
      </c>
      <c r="Z95" s="130" t="str">
        <f t="shared" si="8"/>
        <v/>
      </c>
      <c r="AA95" s="131" t="str">
        <f t="shared" si="8"/>
        <v/>
      </c>
      <c r="AB95" s="129" t="str">
        <f t="shared" si="8"/>
        <v/>
      </c>
      <c r="AC95" s="129" t="str">
        <f t="shared" si="8"/>
        <v/>
      </c>
      <c r="AD95" s="129" t="str">
        <f t="shared" si="8"/>
        <v/>
      </c>
      <c r="AE95" s="130" t="str">
        <f t="shared" si="8"/>
        <v/>
      </c>
      <c r="AF95" s="132">
        <f>AF94+AF53</f>
        <v>0</v>
      </c>
      <c r="AG95" s="132">
        <f>AG94+AG53</f>
        <v>0</v>
      </c>
      <c r="AH95" s="178"/>
      <c r="AI95" s="179"/>
      <c r="AJ95" s="179"/>
      <c r="AK95" s="179"/>
      <c r="AL95" s="179"/>
      <c r="AM95" s="180"/>
    </row>
    <row r="96" spans="1:40" ht="6.75" customHeight="1" thickBot="1" x14ac:dyDescent="0.35">
      <c r="A96" s="181"/>
      <c r="B96" s="181"/>
      <c r="C96" s="49"/>
      <c r="D96" s="49"/>
      <c r="E96" s="49"/>
      <c r="F96" s="49"/>
      <c r="G96" s="182"/>
      <c r="H96" s="182"/>
      <c r="I96" s="182"/>
      <c r="J96" s="182"/>
      <c r="K96" s="182"/>
    </row>
    <row r="97" spans="1:39" ht="35.25" customHeight="1" thickBot="1" x14ac:dyDescent="0.3">
      <c r="A97" s="50" t="s">
        <v>17</v>
      </c>
      <c r="B97" s="51"/>
      <c r="C97" s="51"/>
      <c r="D97" s="51"/>
      <c r="E97" s="51"/>
      <c r="F97" s="51"/>
      <c r="G97" s="52"/>
      <c r="H97" s="52"/>
      <c r="I97" s="52"/>
      <c r="J97" s="52"/>
      <c r="K97" s="52"/>
      <c r="L97" s="52"/>
      <c r="M97" s="52"/>
      <c r="N97" s="52"/>
      <c r="O97" s="52"/>
      <c r="P97" s="52"/>
      <c r="Q97" s="52"/>
      <c r="R97" s="52"/>
      <c r="S97" s="53"/>
      <c r="T97" s="54" t="s">
        <v>18</v>
      </c>
      <c r="U97" s="55"/>
      <c r="V97" s="55"/>
      <c r="W97" s="55"/>
      <c r="X97" s="55"/>
      <c r="Y97" s="56"/>
      <c r="Z97" s="56"/>
      <c r="AA97" s="56"/>
      <c r="AB97" s="57"/>
      <c r="AC97" s="58"/>
      <c r="AE97" s="59" t="s">
        <v>19</v>
      </c>
      <c r="AF97" s="207" t="str">
        <f>IF(AA6="","",AA6)</f>
        <v/>
      </c>
      <c r="AG97" s="208"/>
      <c r="AH97" s="184" t="s">
        <v>20</v>
      </c>
      <c r="AI97" s="185"/>
      <c r="AJ97" s="188">
        <f>25-COUNTBLANK(G11:AE11)</f>
        <v>0</v>
      </c>
      <c r="AK97" s="190" t="s">
        <v>21</v>
      </c>
      <c r="AL97" s="190"/>
      <c r="AM97" s="191"/>
    </row>
    <row r="98" spans="1:39" ht="15" customHeight="1" thickBot="1" x14ac:dyDescent="0.35">
      <c r="A98" s="192" t="s">
        <v>22</v>
      </c>
      <c r="B98" s="192"/>
      <c r="C98" s="192"/>
      <c r="D98" s="192"/>
      <c r="E98" s="192"/>
      <c r="F98" s="192"/>
      <c r="G98" s="192"/>
      <c r="H98" s="192"/>
      <c r="I98" s="192"/>
      <c r="J98" s="192"/>
      <c r="K98" s="192"/>
      <c r="L98" s="192"/>
      <c r="M98" s="192"/>
      <c r="N98" s="192"/>
      <c r="O98" s="192"/>
      <c r="P98" s="192"/>
      <c r="Q98" s="192"/>
      <c r="R98" s="52"/>
      <c r="S98" s="53"/>
      <c r="T98" s="193" t="s">
        <v>23</v>
      </c>
      <c r="U98" s="194"/>
      <c r="V98" s="194"/>
      <c r="W98" s="194"/>
      <c r="X98" s="194"/>
      <c r="Y98" s="194"/>
      <c r="Z98" s="194"/>
      <c r="AA98" s="194"/>
      <c r="AB98" s="194"/>
      <c r="AC98" s="60"/>
      <c r="AE98" s="61"/>
      <c r="AF98" s="209"/>
      <c r="AG98" s="210"/>
      <c r="AH98" s="186"/>
      <c r="AI98" s="187"/>
      <c r="AJ98" s="189"/>
      <c r="AK98" s="62" t="s">
        <v>10</v>
      </c>
      <c r="AL98" s="63" t="s">
        <v>14</v>
      </c>
      <c r="AM98" s="64" t="s">
        <v>11</v>
      </c>
    </row>
    <row r="99" spans="1:39" ht="15.6" x14ac:dyDescent="0.3">
      <c r="A99" s="192" t="s">
        <v>24</v>
      </c>
      <c r="B99" s="192"/>
      <c r="C99" s="192"/>
      <c r="D99" s="192"/>
      <c r="E99" s="192"/>
      <c r="F99" s="192"/>
      <c r="G99" s="192"/>
      <c r="H99" s="192"/>
      <c r="I99" s="192"/>
      <c r="J99" s="192"/>
      <c r="K99" s="192"/>
      <c r="L99" s="192"/>
      <c r="M99" s="192"/>
      <c r="N99" s="192"/>
      <c r="O99" s="192"/>
      <c r="P99" s="192"/>
      <c r="Q99" s="192"/>
      <c r="R99" s="52"/>
      <c r="S99" s="53"/>
      <c r="T99" s="195"/>
      <c r="U99" s="196"/>
      <c r="V99" s="196"/>
      <c r="W99" s="196"/>
      <c r="X99" s="196"/>
      <c r="Y99" s="196"/>
      <c r="Z99" s="196"/>
      <c r="AA99" s="196"/>
      <c r="AB99" s="196"/>
      <c r="AC99" s="60"/>
      <c r="AE99" s="197" t="s">
        <v>25</v>
      </c>
      <c r="AF99" s="198"/>
      <c r="AG99" s="198"/>
      <c r="AH99" s="198"/>
      <c r="AI99" s="198"/>
      <c r="AJ99" s="199"/>
      <c r="AK99" s="203"/>
      <c r="AL99" s="203"/>
      <c r="AM99" s="205">
        <f>SUM(AK99:AL100)</f>
        <v>0</v>
      </c>
    </row>
    <row r="100" spans="1:39" ht="15.75" customHeight="1" x14ac:dyDescent="0.3">
      <c r="A100" s="192" t="s">
        <v>26</v>
      </c>
      <c r="B100" s="192"/>
      <c r="C100" s="192"/>
      <c r="D100" s="192"/>
      <c r="E100" s="192"/>
      <c r="F100" s="192"/>
      <c r="G100" s="192"/>
      <c r="H100" s="192"/>
      <c r="I100" s="192"/>
      <c r="J100" s="192"/>
      <c r="K100" s="192"/>
      <c r="L100" s="192"/>
      <c r="M100" s="192"/>
      <c r="N100" s="192"/>
      <c r="O100" s="192"/>
      <c r="P100" s="192"/>
      <c r="Q100" s="192"/>
      <c r="R100" s="52"/>
      <c r="S100" s="53"/>
      <c r="T100" s="195"/>
      <c r="U100" s="196"/>
      <c r="V100" s="196"/>
      <c r="W100" s="196"/>
      <c r="X100" s="196"/>
      <c r="Y100" s="196"/>
      <c r="Z100" s="196"/>
      <c r="AA100" s="196"/>
      <c r="AB100" s="196"/>
      <c r="AC100" s="60"/>
      <c r="AE100" s="200"/>
      <c r="AF100" s="201"/>
      <c r="AG100" s="201"/>
      <c r="AH100" s="201"/>
      <c r="AI100" s="201"/>
      <c r="AJ100" s="202"/>
      <c r="AK100" s="204"/>
      <c r="AL100" s="204"/>
      <c r="AM100" s="206"/>
    </row>
    <row r="101" spans="1:39" ht="15.75" customHeight="1" x14ac:dyDescent="0.3">
      <c r="A101" s="211" t="s">
        <v>27</v>
      </c>
      <c r="B101" s="212" t="s">
        <v>28</v>
      </c>
      <c r="C101" s="67"/>
      <c r="D101" s="67"/>
      <c r="E101" s="67"/>
      <c r="F101" s="67"/>
      <c r="G101" s="213" t="s">
        <v>29</v>
      </c>
      <c r="H101" s="213"/>
      <c r="I101" s="213"/>
      <c r="J101" s="213"/>
      <c r="K101" s="213"/>
      <c r="L101" s="213"/>
      <c r="M101" s="213"/>
      <c r="N101" s="213"/>
      <c r="O101" s="213"/>
      <c r="P101" s="213"/>
      <c r="Q101" s="214" t="s">
        <v>30</v>
      </c>
      <c r="R101" s="214"/>
      <c r="S101" s="53"/>
      <c r="T101" s="69" t="s">
        <v>31</v>
      </c>
      <c r="Y101" s="27"/>
      <c r="AB101" s="70"/>
      <c r="AC101" s="60"/>
      <c r="AE101" s="215" t="s">
        <v>32</v>
      </c>
      <c r="AF101" s="216"/>
      <c r="AG101" s="216"/>
      <c r="AH101" s="216"/>
      <c r="AI101" s="216"/>
      <c r="AJ101" s="216"/>
      <c r="AK101" s="217"/>
      <c r="AL101" s="217"/>
      <c r="AM101" s="218">
        <f>SUM(AK101:AL102)</f>
        <v>0</v>
      </c>
    </row>
    <row r="102" spans="1:39" ht="15.75" customHeight="1" x14ac:dyDescent="0.3">
      <c r="A102" s="211"/>
      <c r="B102" s="212"/>
      <c r="C102" s="67"/>
      <c r="D102" s="67"/>
      <c r="E102" s="67"/>
      <c r="F102" s="67"/>
      <c r="G102" s="220" t="s">
        <v>33</v>
      </c>
      <c r="H102" s="220"/>
      <c r="I102" s="220"/>
      <c r="J102" s="220"/>
      <c r="K102" s="220"/>
      <c r="L102" s="220"/>
      <c r="M102" s="220"/>
      <c r="N102" s="220"/>
      <c r="O102" s="220"/>
      <c r="P102" s="220"/>
      <c r="Q102" s="214"/>
      <c r="R102" s="214"/>
      <c r="S102" s="53"/>
      <c r="T102" s="69" t="s">
        <v>34</v>
      </c>
      <c r="U102" s="27"/>
      <c r="V102" s="27"/>
      <c r="W102" s="27"/>
      <c r="X102" s="27"/>
      <c r="Y102" s="27"/>
      <c r="AB102" s="70"/>
      <c r="AC102" s="60"/>
      <c r="AE102" s="215"/>
      <c r="AF102" s="216"/>
      <c r="AG102" s="216"/>
      <c r="AH102" s="216"/>
      <c r="AI102" s="216"/>
      <c r="AJ102" s="216"/>
      <c r="AK102" s="217"/>
      <c r="AL102" s="217"/>
      <c r="AM102" s="219"/>
    </row>
    <row r="103" spans="1:39" ht="18" customHeight="1" x14ac:dyDescent="0.3">
      <c r="A103" s="211" t="s">
        <v>35</v>
      </c>
      <c r="B103" s="221" t="s">
        <v>36</v>
      </c>
      <c r="C103" s="71"/>
      <c r="D103" s="71"/>
      <c r="E103" s="71"/>
      <c r="F103" s="71"/>
      <c r="G103" s="222" t="s">
        <v>37</v>
      </c>
      <c r="H103" s="222"/>
      <c r="I103" s="222"/>
      <c r="J103" s="222"/>
      <c r="K103" s="222"/>
      <c r="L103" s="222"/>
      <c r="M103" s="222"/>
      <c r="N103" s="222"/>
      <c r="O103" s="222"/>
      <c r="P103" s="222"/>
      <c r="Q103" s="72"/>
      <c r="R103" s="52"/>
      <c r="S103" s="53"/>
      <c r="T103" s="73" t="s">
        <v>38</v>
      </c>
      <c r="U103" s="27"/>
      <c r="V103" s="27"/>
      <c r="W103" s="27"/>
      <c r="X103" s="27"/>
      <c r="Y103" s="27"/>
      <c r="AB103" s="70"/>
      <c r="AC103" s="60"/>
      <c r="AE103" s="215" t="s">
        <v>39</v>
      </c>
      <c r="AF103" s="216"/>
      <c r="AG103" s="216"/>
      <c r="AH103" s="216"/>
      <c r="AI103" s="216"/>
      <c r="AJ103" s="216"/>
      <c r="AK103" s="203"/>
      <c r="AL103" s="203"/>
      <c r="AM103" s="205">
        <f>SUM(AM101)</f>
        <v>0</v>
      </c>
    </row>
    <row r="104" spans="1:39" ht="14.25" customHeight="1" x14ac:dyDescent="0.3">
      <c r="A104" s="211"/>
      <c r="B104" s="221"/>
      <c r="C104" s="71"/>
      <c r="D104" s="71"/>
      <c r="E104" s="71"/>
      <c r="F104" s="71"/>
      <c r="G104" s="220" t="s">
        <v>40</v>
      </c>
      <c r="H104" s="220"/>
      <c r="I104" s="220"/>
      <c r="J104" s="220"/>
      <c r="K104" s="220"/>
      <c r="L104" s="220"/>
      <c r="M104" s="220"/>
      <c r="N104" s="220"/>
      <c r="O104" s="220"/>
      <c r="P104" s="220"/>
      <c r="Q104" s="52"/>
      <c r="R104" s="52"/>
      <c r="S104" s="53"/>
      <c r="T104" s="73" t="s">
        <v>41</v>
      </c>
      <c r="Y104" s="27"/>
      <c r="AB104" s="70"/>
      <c r="AC104" s="60"/>
      <c r="AE104" s="215"/>
      <c r="AF104" s="216"/>
      <c r="AG104" s="216"/>
      <c r="AH104" s="216"/>
      <c r="AI104" s="216"/>
      <c r="AJ104" s="216"/>
      <c r="AK104" s="204"/>
      <c r="AL104" s="204"/>
      <c r="AM104" s="206"/>
    </row>
    <row r="105" spans="1:39" ht="15.75" customHeight="1" x14ac:dyDescent="0.3">
      <c r="A105" s="232" t="s">
        <v>42</v>
      </c>
      <c r="B105" s="212" t="s">
        <v>43</v>
      </c>
      <c r="C105" s="67"/>
      <c r="D105" s="67"/>
      <c r="E105" s="67"/>
      <c r="F105" s="67"/>
      <c r="G105" s="213" t="s">
        <v>44</v>
      </c>
      <c r="H105" s="213"/>
      <c r="I105" s="213"/>
      <c r="J105" s="213"/>
      <c r="K105" s="213"/>
      <c r="L105" s="213"/>
      <c r="M105" s="213"/>
      <c r="N105" s="213"/>
      <c r="O105" s="213"/>
      <c r="P105" s="213"/>
      <c r="Q105" s="214" t="s">
        <v>30</v>
      </c>
      <c r="R105" s="214"/>
      <c r="S105" s="53"/>
      <c r="T105" s="73" t="s">
        <v>45</v>
      </c>
      <c r="AB105" s="70"/>
      <c r="AC105" s="60"/>
      <c r="AE105" s="215" t="s">
        <v>46</v>
      </c>
      <c r="AF105" s="216"/>
      <c r="AG105" s="216"/>
      <c r="AH105" s="216"/>
      <c r="AI105" s="216"/>
      <c r="AJ105" s="216"/>
      <c r="AK105" s="223" t="str">
        <f>IFERROR(AK103/AK99*100,"")</f>
        <v/>
      </c>
      <c r="AL105" s="223" t="str">
        <f>IFERROR(AL103/AL99*100,"")</f>
        <v/>
      </c>
      <c r="AM105" s="225" t="str">
        <f>IFERROR(AM103/AM99*100,"")</f>
        <v/>
      </c>
    </row>
    <row r="106" spans="1:39" ht="19.5" customHeight="1" x14ac:dyDescent="0.3">
      <c r="A106" s="232"/>
      <c r="B106" s="212"/>
      <c r="C106" s="67"/>
      <c r="D106" s="67"/>
      <c r="E106" s="67"/>
      <c r="F106" s="67"/>
      <c r="G106" s="214" t="s">
        <v>47</v>
      </c>
      <c r="H106" s="214"/>
      <c r="I106" s="214"/>
      <c r="J106" s="214"/>
      <c r="K106" s="214"/>
      <c r="L106" s="214"/>
      <c r="M106" s="214"/>
      <c r="N106" s="214"/>
      <c r="O106" s="214"/>
      <c r="P106" s="214"/>
      <c r="Q106" s="214"/>
      <c r="R106" s="214"/>
      <c r="S106" s="53"/>
      <c r="T106" s="73" t="s">
        <v>48</v>
      </c>
      <c r="AB106" s="70"/>
      <c r="AC106" s="60"/>
      <c r="AE106" s="215"/>
      <c r="AF106" s="216"/>
      <c r="AG106" s="216"/>
      <c r="AH106" s="216"/>
      <c r="AI106" s="216"/>
      <c r="AJ106" s="216"/>
      <c r="AK106" s="224"/>
      <c r="AL106" s="224"/>
      <c r="AM106" s="226"/>
    </row>
    <row r="107" spans="1:39" ht="26.25" customHeight="1" x14ac:dyDescent="0.3">
      <c r="A107" s="192"/>
      <c r="B107" s="192"/>
      <c r="C107" s="192"/>
      <c r="D107" s="192"/>
      <c r="E107" s="192"/>
      <c r="F107" s="192"/>
      <c r="G107" s="192"/>
      <c r="H107" s="192"/>
      <c r="I107" s="192"/>
      <c r="J107" s="192"/>
      <c r="K107" s="192"/>
      <c r="L107" s="192"/>
      <c r="M107" s="192"/>
      <c r="N107" s="192"/>
      <c r="O107" s="192"/>
      <c r="P107" s="68"/>
      <c r="Q107" s="68"/>
      <c r="R107" s="52"/>
      <c r="S107" s="53"/>
      <c r="T107" s="69" t="s">
        <v>49</v>
      </c>
      <c r="AB107" s="27"/>
      <c r="AC107" s="60"/>
      <c r="AE107" s="227" t="s">
        <v>50</v>
      </c>
      <c r="AF107" s="228"/>
      <c r="AG107" s="228"/>
      <c r="AH107" s="228"/>
      <c r="AI107" s="228"/>
      <c r="AJ107" s="228"/>
      <c r="AK107" s="101" t="str">
        <f>IF(COUNTA(G11:AE11)&lt;&gt;0,AG53/AJ97,"")</f>
        <v/>
      </c>
      <c r="AL107" s="101" t="str">
        <f>IF(COUNTA(G11:AE11)&lt;&gt;0,AG94/AJ97,"")</f>
        <v/>
      </c>
      <c r="AM107" s="102" t="str">
        <f>IF(COUNTA(G11:AE11)&lt;&gt;0,AG95/AJ97,"")</f>
        <v/>
      </c>
    </row>
    <row r="108" spans="1:39" ht="16.5" customHeight="1" x14ac:dyDescent="0.3">
      <c r="A108" s="229" t="s">
        <v>51</v>
      </c>
      <c r="B108" s="229"/>
      <c r="C108" s="229"/>
      <c r="D108" s="229"/>
      <c r="E108" s="229"/>
      <c r="F108" s="229"/>
      <c r="G108" s="229"/>
      <c r="H108" s="229"/>
      <c r="I108" s="229"/>
      <c r="J108" s="229"/>
      <c r="K108" s="229"/>
      <c r="L108" s="229"/>
      <c r="M108" s="229"/>
      <c r="N108" s="229"/>
      <c r="O108" s="229"/>
      <c r="P108" s="229"/>
      <c r="Q108" s="229"/>
      <c r="R108" s="72"/>
      <c r="S108" s="53"/>
      <c r="T108" s="73" t="s">
        <v>52</v>
      </c>
      <c r="AB108" s="70"/>
      <c r="AC108" s="60"/>
      <c r="AE108" s="215" t="s">
        <v>53</v>
      </c>
      <c r="AF108" s="216"/>
      <c r="AG108" s="216"/>
      <c r="AH108" s="216"/>
      <c r="AI108" s="216"/>
      <c r="AJ108" s="216"/>
      <c r="AK108" s="230" t="str">
        <f>IFERROR(AK107/AK103*100,"")</f>
        <v/>
      </c>
      <c r="AL108" s="230" t="str">
        <f>IFERROR(AL107/AL103*100,"")</f>
        <v/>
      </c>
      <c r="AM108" s="231" t="str">
        <f>IFERROR(AM107/AM103*100,"")</f>
        <v/>
      </c>
    </row>
    <row r="109" spans="1:39" ht="15.75" customHeight="1" x14ac:dyDescent="0.3">
      <c r="A109" s="229"/>
      <c r="B109" s="229"/>
      <c r="C109" s="229"/>
      <c r="D109" s="229"/>
      <c r="E109" s="229"/>
      <c r="F109" s="229"/>
      <c r="G109" s="229"/>
      <c r="H109" s="229"/>
      <c r="I109" s="229"/>
      <c r="J109" s="229"/>
      <c r="K109" s="229"/>
      <c r="L109" s="229"/>
      <c r="M109" s="229"/>
      <c r="N109" s="229"/>
      <c r="O109" s="229"/>
      <c r="P109" s="229"/>
      <c r="Q109" s="229"/>
      <c r="R109" s="72"/>
      <c r="S109" s="53"/>
      <c r="T109" s="73" t="s">
        <v>54</v>
      </c>
      <c r="AB109" s="70"/>
      <c r="AC109" s="60"/>
      <c r="AE109" s="215"/>
      <c r="AF109" s="216"/>
      <c r="AG109" s="216"/>
      <c r="AH109" s="216"/>
      <c r="AI109" s="216"/>
      <c r="AJ109" s="216"/>
      <c r="AK109" s="230"/>
      <c r="AL109" s="230"/>
      <c r="AM109" s="231"/>
    </row>
    <row r="110" spans="1:39" ht="15.75" customHeight="1" x14ac:dyDescent="0.3">
      <c r="A110" s="233" t="s">
        <v>55</v>
      </c>
      <c r="B110" s="233"/>
      <c r="C110" s="233"/>
      <c r="D110" s="233"/>
      <c r="E110" s="233"/>
      <c r="F110" s="233"/>
      <c r="G110" s="233"/>
      <c r="H110" s="233"/>
      <c r="I110" s="233"/>
      <c r="J110" s="233"/>
      <c r="K110" s="233"/>
      <c r="L110" s="233"/>
      <c r="M110" s="233"/>
      <c r="N110" s="233"/>
      <c r="O110" s="233"/>
      <c r="P110" s="233"/>
      <c r="Q110" s="233"/>
      <c r="R110" s="233"/>
      <c r="S110" s="53"/>
      <c r="T110" s="73" t="s">
        <v>56</v>
      </c>
      <c r="AB110" s="70"/>
      <c r="AC110" s="60"/>
      <c r="AD110" s="75"/>
      <c r="AE110" s="215" t="s">
        <v>57</v>
      </c>
      <c r="AF110" s="216"/>
      <c r="AG110" s="216"/>
      <c r="AH110" s="216"/>
      <c r="AI110" s="216"/>
      <c r="AJ110" s="216"/>
      <c r="AK110" s="234">
        <f>SUM(AN13:AN52)</f>
        <v>0</v>
      </c>
      <c r="AL110" s="234">
        <f>SUM(AN54:AN93)</f>
        <v>0</v>
      </c>
      <c r="AM110" s="236">
        <f>SUM(AK110:AL111)</f>
        <v>0</v>
      </c>
    </row>
    <row r="111" spans="1:39" ht="16.5" customHeight="1" x14ac:dyDescent="0.3">
      <c r="A111" s="233"/>
      <c r="B111" s="233"/>
      <c r="C111" s="233"/>
      <c r="D111" s="233"/>
      <c r="E111" s="233"/>
      <c r="F111" s="233"/>
      <c r="G111" s="233"/>
      <c r="H111" s="233"/>
      <c r="I111" s="233"/>
      <c r="J111" s="233"/>
      <c r="K111" s="233"/>
      <c r="L111" s="233"/>
      <c r="M111" s="233"/>
      <c r="N111" s="233"/>
      <c r="O111" s="233"/>
      <c r="P111" s="233"/>
      <c r="Q111" s="233"/>
      <c r="R111" s="233"/>
      <c r="S111" s="53"/>
      <c r="T111" s="73" t="s">
        <v>58</v>
      </c>
      <c r="AB111" s="27"/>
      <c r="AC111" s="60"/>
      <c r="AE111" s="215"/>
      <c r="AF111" s="216"/>
      <c r="AG111" s="216"/>
      <c r="AH111" s="216"/>
      <c r="AI111" s="216"/>
      <c r="AJ111" s="216"/>
      <c r="AK111" s="235"/>
      <c r="AL111" s="235"/>
      <c r="AM111" s="205"/>
    </row>
    <row r="112" spans="1:39" ht="14.25" customHeight="1" x14ac:dyDescent="0.3">
      <c r="A112" s="52" t="s">
        <v>59</v>
      </c>
      <c r="B112" s="74"/>
      <c r="C112" s="74"/>
      <c r="D112" s="74"/>
      <c r="E112" s="74"/>
      <c r="F112" s="74"/>
      <c r="G112" s="76"/>
      <c r="H112" s="76"/>
      <c r="I112" s="76"/>
      <c r="J112" s="76"/>
      <c r="K112" s="76"/>
      <c r="L112" s="76"/>
      <c r="M112" s="76"/>
      <c r="N112" s="76"/>
      <c r="O112" s="76"/>
      <c r="P112" s="76"/>
      <c r="Q112" s="76"/>
      <c r="R112" s="72"/>
      <c r="S112" s="53"/>
      <c r="T112" s="73" t="s">
        <v>60</v>
      </c>
      <c r="AB112" s="70"/>
      <c r="AC112" s="60"/>
      <c r="AE112" s="237" t="s">
        <v>87</v>
      </c>
      <c r="AF112" s="238"/>
      <c r="AG112" s="238"/>
      <c r="AH112" s="238"/>
      <c r="AI112" s="238"/>
      <c r="AJ112" s="238"/>
      <c r="AK112" s="239">
        <f>COUNTIF(AH13:AI52,"NLS")</f>
        <v>0</v>
      </c>
      <c r="AL112" s="239">
        <f>COUNTIF(AH54:AI93,"NLS")</f>
        <v>0</v>
      </c>
      <c r="AM112" s="240">
        <f>SUM(AK112:AL113)</f>
        <v>0</v>
      </c>
    </row>
    <row r="113" spans="1:39" ht="15.75" customHeight="1" x14ac:dyDescent="0.3">
      <c r="A113" s="66" t="s">
        <v>61</v>
      </c>
      <c r="B113" s="233" t="s">
        <v>62</v>
      </c>
      <c r="C113" s="233"/>
      <c r="D113" s="233"/>
      <c r="E113" s="233"/>
      <c r="F113" s="233"/>
      <c r="G113" s="233"/>
      <c r="H113" s="233"/>
      <c r="I113" s="233"/>
      <c r="J113" s="233"/>
      <c r="K113" s="233"/>
      <c r="L113" s="233"/>
      <c r="M113" s="233"/>
      <c r="N113" s="233"/>
      <c r="O113" s="233"/>
      <c r="P113" s="233"/>
      <c r="Q113" s="233"/>
      <c r="R113" s="52"/>
      <c r="S113" s="53"/>
      <c r="T113" s="73" t="s">
        <v>63</v>
      </c>
      <c r="AB113" s="27"/>
      <c r="AC113" s="60"/>
      <c r="AE113" s="237"/>
      <c r="AF113" s="238"/>
      <c r="AG113" s="238"/>
      <c r="AH113" s="238"/>
      <c r="AI113" s="238"/>
      <c r="AJ113" s="238"/>
      <c r="AK113" s="239"/>
      <c r="AL113" s="239"/>
      <c r="AM113" s="240"/>
    </row>
    <row r="114" spans="1:39" ht="15.75" customHeight="1" x14ac:dyDescent="0.3">
      <c r="G114" s="51"/>
      <c r="H114" s="51"/>
      <c r="I114" s="51"/>
      <c r="J114" s="51"/>
      <c r="K114" s="77"/>
      <c r="L114" s="77"/>
      <c r="M114" s="77"/>
      <c r="N114" s="77"/>
      <c r="S114" s="53"/>
      <c r="T114" s="73" t="s">
        <v>64</v>
      </c>
      <c r="AC114" s="60"/>
      <c r="AE114" s="237" t="s">
        <v>65</v>
      </c>
      <c r="AF114" s="238"/>
      <c r="AG114" s="238"/>
      <c r="AH114" s="238"/>
      <c r="AI114" s="238"/>
      <c r="AJ114" s="238"/>
      <c r="AK114" s="245">
        <f>COUNTIF(AH13:AI52,"Transferred In")</f>
        <v>0</v>
      </c>
      <c r="AL114" s="245">
        <f>COUNTIF(AH54:AI93,"Transferred In")</f>
        <v>0</v>
      </c>
      <c r="AM114" s="240">
        <f t="shared" ref="AM114" si="9">SUM(AK114:AL115)</f>
        <v>0</v>
      </c>
    </row>
    <row r="115" spans="1:39" ht="14.25" customHeight="1" x14ac:dyDescent="0.3">
      <c r="B115" s="51"/>
      <c r="C115" s="51"/>
      <c r="D115" s="51"/>
      <c r="E115" s="51"/>
      <c r="F115" s="51"/>
      <c r="G115" s="51"/>
      <c r="H115" s="51"/>
      <c r="I115" s="51"/>
      <c r="J115" s="51"/>
      <c r="S115" s="53"/>
      <c r="T115" s="69" t="s">
        <v>66</v>
      </c>
      <c r="Z115" s="70"/>
      <c r="AA115" s="70"/>
      <c r="AB115" s="70"/>
      <c r="AC115" s="60"/>
      <c r="AE115" s="237"/>
      <c r="AF115" s="238"/>
      <c r="AG115" s="238"/>
      <c r="AH115" s="238"/>
      <c r="AI115" s="238"/>
      <c r="AJ115" s="238"/>
      <c r="AK115" s="245"/>
      <c r="AL115" s="245"/>
      <c r="AM115" s="240"/>
    </row>
    <row r="116" spans="1:39" ht="15" customHeight="1" x14ac:dyDescent="0.3">
      <c r="B116" s="246"/>
      <c r="C116" s="246"/>
      <c r="D116" s="246"/>
      <c r="E116" s="246"/>
      <c r="F116" s="246"/>
      <c r="G116" s="246"/>
      <c r="H116" s="246"/>
      <c r="I116" s="246"/>
      <c r="J116" s="246"/>
      <c r="S116" s="53"/>
      <c r="T116" s="73" t="s">
        <v>67</v>
      </c>
      <c r="AC116" s="60"/>
      <c r="AD116" s="65"/>
      <c r="AE116" s="237" t="s">
        <v>68</v>
      </c>
      <c r="AF116" s="238"/>
      <c r="AG116" s="238"/>
      <c r="AH116" s="238"/>
      <c r="AI116" s="238"/>
      <c r="AJ116" s="238"/>
      <c r="AK116" s="245">
        <f>COUNTIF(AH13:AI52,"Transferred Out")</f>
        <v>0</v>
      </c>
      <c r="AL116" s="245">
        <f>COUNTIF(AH54:AI93,"Transferred Out")</f>
        <v>0</v>
      </c>
      <c r="AM116" s="240">
        <f t="shared" ref="AM116" si="10">SUM(AK116:AL117)</f>
        <v>0</v>
      </c>
    </row>
    <row r="117" spans="1:39" ht="15.75" customHeight="1" thickBot="1" x14ac:dyDescent="0.35">
      <c r="B117" s="246"/>
      <c r="C117" s="246"/>
      <c r="D117" s="246"/>
      <c r="E117" s="246"/>
      <c r="F117" s="246"/>
      <c r="G117" s="246"/>
      <c r="H117" s="246"/>
      <c r="I117" s="246"/>
      <c r="J117" s="246"/>
      <c r="S117" s="53"/>
      <c r="T117" s="73" t="s">
        <v>69</v>
      </c>
      <c r="AC117" s="60"/>
      <c r="AE117" s="247"/>
      <c r="AF117" s="248"/>
      <c r="AG117" s="248"/>
      <c r="AH117" s="248"/>
      <c r="AI117" s="248"/>
      <c r="AJ117" s="248"/>
      <c r="AK117" s="249"/>
      <c r="AL117" s="249"/>
      <c r="AM117" s="250"/>
    </row>
    <row r="118" spans="1:39" ht="14.25" customHeight="1" x14ac:dyDescent="0.3">
      <c r="B118" s="27"/>
      <c r="C118" s="27"/>
      <c r="D118" s="27"/>
      <c r="E118" s="27"/>
      <c r="F118" s="27"/>
      <c r="S118" s="53"/>
      <c r="T118" s="73" t="s">
        <v>70</v>
      </c>
      <c r="AC118" s="60"/>
    </row>
    <row r="119" spans="1:39" x14ac:dyDescent="0.3">
      <c r="B119" s="27"/>
      <c r="C119" s="27"/>
      <c r="D119" s="27"/>
      <c r="E119" s="27"/>
      <c r="F119" s="27"/>
      <c r="G119" s="27"/>
      <c r="H119" s="27"/>
      <c r="I119" s="27"/>
      <c r="J119" s="27"/>
      <c r="S119" s="53"/>
      <c r="T119" s="69" t="s">
        <v>71</v>
      </c>
      <c r="AC119" s="60"/>
      <c r="AE119" s="78" t="s">
        <v>72</v>
      </c>
      <c r="AM119" s="79"/>
    </row>
    <row r="120" spans="1:39" x14ac:dyDescent="0.3">
      <c r="B120" s="80"/>
      <c r="C120" s="80"/>
      <c r="D120" s="80"/>
      <c r="E120" s="80"/>
      <c r="F120" s="80"/>
      <c r="G120" s="27"/>
      <c r="H120" s="27"/>
      <c r="I120" s="27"/>
      <c r="J120" s="27"/>
      <c r="S120" s="53"/>
      <c r="T120" s="73" t="s">
        <v>73</v>
      </c>
      <c r="AC120" s="60"/>
      <c r="AE120" s="241"/>
      <c r="AF120" s="241"/>
      <c r="AG120" s="241"/>
      <c r="AH120" s="241"/>
      <c r="AI120" s="241"/>
      <c r="AJ120" s="241"/>
      <c r="AK120" s="241"/>
      <c r="AL120" s="241"/>
      <c r="AM120" s="241"/>
    </row>
    <row r="121" spans="1:39" ht="12" customHeight="1" x14ac:dyDescent="0.3">
      <c r="B121" s="80"/>
      <c r="C121" s="80"/>
      <c r="D121" s="80"/>
      <c r="E121" s="80"/>
      <c r="F121" s="80"/>
      <c r="S121" s="53"/>
      <c r="T121" s="195" t="s">
        <v>74</v>
      </c>
      <c r="U121" s="196"/>
      <c r="V121" s="196"/>
      <c r="W121" s="196"/>
      <c r="X121" s="196"/>
      <c r="Y121" s="196"/>
      <c r="Z121" s="196"/>
      <c r="AA121" s="196"/>
      <c r="AB121" s="196"/>
      <c r="AC121" s="242"/>
      <c r="AE121" s="142"/>
      <c r="AF121" s="142"/>
      <c r="AG121" s="142"/>
      <c r="AH121" s="142"/>
      <c r="AI121" s="142"/>
      <c r="AJ121" s="142"/>
      <c r="AK121" s="142"/>
      <c r="AL121" s="142"/>
      <c r="AM121" s="142"/>
    </row>
    <row r="122" spans="1:39" x14ac:dyDescent="0.3">
      <c r="B122" s="80"/>
      <c r="C122" s="80"/>
      <c r="D122" s="80"/>
      <c r="E122" s="80"/>
      <c r="F122" s="80"/>
      <c r="S122" s="53"/>
      <c r="T122" s="195"/>
      <c r="U122" s="196"/>
      <c r="V122" s="196"/>
      <c r="W122" s="196"/>
      <c r="X122" s="196"/>
      <c r="Y122" s="196"/>
      <c r="Z122" s="196"/>
      <c r="AA122" s="196"/>
      <c r="AB122" s="196"/>
      <c r="AC122" s="242"/>
      <c r="AE122" s="243" t="s">
        <v>75</v>
      </c>
      <c r="AF122" s="243"/>
      <c r="AG122" s="243"/>
      <c r="AH122" s="243"/>
      <c r="AI122" s="243"/>
      <c r="AJ122" s="243"/>
      <c r="AK122" s="243"/>
      <c r="AL122" s="243"/>
      <c r="AM122" s="243"/>
    </row>
    <row r="123" spans="1:39" x14ac:dyDescent="0.3">
      <c r="B123" s="80"/>
      <c r="C123" s="80"/>
      <c r="D123" s="80"/>
      <c r="E123" s="80"/>
      <c r="F123" s="80"/>
      <c r="T123" s="73" t="s">
        <v>76</v>
      </c>
      <c r="AC123" s="81"/>
    </row>
    <row r="124" spans="1:39" ht="14.25" customHeight="1" x14ac:dyDescent="0.3">
      <c r="B124" s="27"/>
      <c r="C124" s="27"/>
      <c r="D124" s="27"/>
      <c r="E124" s="27"/>
      <c r="F124" s="27"/>
      <c r="T124" s="69" t="s">
        <v>77</v>
      </c>
      <c r="AC124" s="81"/>
      <c r="AE124" s="30" t="s">
        <v>78</v>
      </c>
      <c r="AG124" s="78"/>
      <c r="AH124" s="78"/>
      <c r="AI124" s="78"/>
      <c r="AJ124" s="78"/>
      <c r="AK124" s="78"/>
      <c r="AL124" s="78"/>
    </row>
    <row r="125" spans="1:39" ht="27.6" customHeight="1" x14ac:dyDescent="0.35">
      <c r="A125" s="244"/>
      <c r="B125" s="244"/>
      <c r="C125" s="82"/>
      <c r="D125" s="82"/>
      <c r="E125" s="82"/>
      <c r="F125" s="82"/>
      <c r="T125" s="73" t="s">
        <v>79</v>
      </c>
      <c r="AC125" s="81"/>
      <c r="AE125" s="142"/>
      <c r="AF125" s="142"/>
      <c r="AG125" s="142"/>
      <c r="AH125" s="142"/>
      <c r="AI125" s="142"/>
      <c r="AJ125" s="142"/>
      <c r="AK125" s="142"/>
      <c r="AL125" s="142"/>
      <c r="AM125" s="142"/>
    </row>
    <row r="126" spans="1:39" ht="14.25" customHeight="1" thickBot="1" x14ac:dyDescent="0.4">
      <c r="A126" s="244"/>
      <c r="B126" s="244"/>
      <c r="C126" s="82"/>
      <c r="D126" s="82"/>
      <c r="E126" s="82"/>
      <c r="F126" s="82"/>
      <c r="T126" s="61" t="s">
        <v>80</v>
      </c>
      <c r="U126" s="83"/>
      <c r="V126" s="83"/>
      <c r="W126" s="83"/>
      <c r="X126" s="83"/>
      <c r="Y126" s="83"/>
      <c r="Z126" s="83"/>
      <c r="AA126" s="83"/>
      <c r="AB126" s="83"/>
      <c r="AC126" s="84"/>
      <c r="AE126" s="243" t="s">
        <v>81</v>
      </c>
      <c r="AF126" s="243"/>
      <c r="AG126" s="243"/>
      <c r="AH126" s="243"/>
      <c r="AI126" s="243"/>
      <c r="AJ126" s="243"/>
      <c r="AK126" s="243"/>
      <c r="AL126" s="243"/>
      <c r="AM126" s="243"/>
    </row>
  </sheetData>
  <sheetProtection algorithmName="SHA-512" hashValue="7XA9en46ZeIdRgSNPzmJkN1Uqkjuu1sHUhbzDC77oxM/rfsYXk8ZXIHnUpt6K0qce+JcTGX9AiOitAaLkwJa2w==" saltValue="FYgrGgYgsDhxuOawRjQ7uA==" spinCount="100000" sheet="1" objects="1" scenarios="1"/>
  <mergeCells count="226">
    <mergeCell ref="AH78:AI78"/>
    <mergeCell ref="AJ78:AM78"/>
    <mergeCell ref="AH79:AI79"/>
    <mergeCell ref="AJ79:AM79"/>
    <mergeCell ref="AH80:AI80"/>
    <mergeCell ref="AJ80:AM80"/>
    <mergeCell ref="AH81:AI81"/>
    <mergeCell ref="AJ81:AM81"/>
    <mergeCell ref="AH82:AI82"/>
    <mergeCell ref="AJ82:AM82"/>
    <mergeCell ref="AE120:AM121"/>
    <mergeCell ref="T121:AC122"/>
    <mergeCell ref="AE122:AM122"/>
    <mergeCell ref="A125:B126"/>
    <mergeCell ref="AE125:AM125"/>
    <mergeCell ref="AE126:AM126"/>
    <mergeCell ref="AE114:AJ115"/>
    <mergeCell ref="AK114:AK115"/>
    <mergeCell ref="AL114:AL115"/>
    <mergeCell ref="AM114:AM115"/>
    <mergeCell ref="B116:J117"/>
    <mergeCell ref="AE116:AJ117"/>
    <mergeCell ref="AK116:AK117"/>
    <mergeCell ref="AL116:AL117"/>
    <mergeCell ref="AM116:AM117"/>
    <mergeCell ref="A110:R111"/>
    <mergeCell ref="AE110:AJ111"/>
    <mergeCell ref="AK110:AK111"/>
    <mergeCell ref="AL110:AL111"/>
    <mergeCell ref="AM110:AM111"/>
    <mergeCell ref="AE112:AJ113"/>
    <mergeCell ref="AK112:AK113"/>
    <mergeCell ref="AL112:AL113"/>
    <mergeCell ref="AM112:AM113"/>
    <mergeCell ref="B113:Q113"/>
    <mergeCell ref="A107:O107"/>
    <mergeCell ref="AE107:AJ107"/>
    <mergeCell ref="A108:Q109"/>
    <mergeCell ref="AE108:AJ109"/>
    <mergeCell ref="AK108:AK109"/>
    <mergeCell ref="AL108:AL109"/>
    <mergeCell ref="AM108:AM109"/>
    <mergeCell ref="A105:A106"/>
    <mergeCell ref="B105:B106"/>
    <mergeCell ref="G105:P105"/>
    <mergeCell ref="Q105:R106"/>
    <mergeCell ref="AE105:AJ106"/>
    <mergeCell ref="AK105:AK106"/>
    <mergeCell ref="A103:A104"/>
    <mergeCell ref="B103:B104"/>
    <mergeCell ref="G103:P103"/>
    <mergeCell ref="AE103:AJ104"/>
    <mergeCell ref="AK103:AK104"/>
    <mergeCell ref="AL103:AL104"/>
    <mergeCell ref="AM103:AM104"/>
    <mergeCell ref="G104:P104"/>
    <mergeCell ref="AL105:AL106"/>
    <mergeCell ref="AM105:AM106"/>
    <mergeCell ref="G106:P106"/>
    <mergeCell ref="A101:A102"/>
    <mergeCell ref="B101:B102"/>
    <mergeCell ref="G101:P101"/>
    <mergeCell ref="Q101:R102"/>
    <mergeCell ref="AE101:AJ102"/>
    <mergeCell ref="AK101:AK102"/>
    <mergeCell ref="AL101:AL102"/>
    <mergeCell ref="AM101:AM102"/>
    <mergeCell ref="G102:P102"/>
    <mergeCell ref="AH97:AI98"/>
    <mergeCell ref="AJ97:AJ98"/>
    <mergeCell ref="AK97:AM97"/>
    <mergeCell ref="A98:Q98"/>
    <mergeCell ref="T98:AB100"/>
    <mergeCell ref="A99:Q99"/>
    <mergeCell ref="AE99:AJ100"/>
    <mergeCell ref="AK99:AK100"/>
    <mergeCell ref="AL99:AL100"/>
    <mergeCell ref="AM99:AM100"/>
    <mergeCell ref="A100:Q100"/>
    <mergeCell ref="AF97:AG98"/>
    <mergeCell ref="A94:B94"/>
    <mergeCell ref="AH94:AM94"/>
    <mergeCell ref="A95:B95"/>
    <mergeCell ref="AH95:AM95"/>
    <mergeCell ref="A96:B96"/>
    <mergeCell ref="G96:K96"/>
    <mergeCell ref="AH92:AI92"/>
    <mergeCell ref="AJ92:AM92"/>
    <mergeCell ref="AH93:AI93"/>
    <mergeCell ref="AJ93:AM93"/>
    <mergeCell ref="AH89:AI89"/>
    <mergeCell ref="AJ89:AM89"/>
    <mergeCell ref="AH90:AI90"/>
    <mergeCell ref="AJ90:AM90"/>
    <mergeCell ref="AH91:AI91"/>
    <mergeCell ref="AJ91:AM91"/>
    <mergeCell ref="AH86:AI86"/>
    <mergeCell ref="AJ86:AM86"/>
    <mergeCell ref="AH87:AI87"/>
    <mergeCell ref="AJ87:AM87"/>
    <mergeCell ref="AH88:AI88"/>
    <mergeCell ref="AJ88:AM88"/>
    <mergeCell ref="AH83:AI83"/>
    <mergeCell ref="AJ83:AM83"/>
    <mergeCell ref="AH84:AI84"/>
    <mergeCell ref="AJ84:AM84"/>
    <mergeCell ref="AH85:AI85"/>
    <mergeCell ref="AJ85:AM85"/>
    <mergeCell ref="AH69:AI69"/>
    <mergeCell ref="AJ69:AM69"/>
    <mergeCell ref="AH70:AI70"/>
    <mergeCell ref="AJ70:AM70"/>
    <mergeCell ref="AH71:AI71"/>
    <mergeCell ref="AJ71:AM71"/>
    <mergeCell ref="AH72:AI72"/>
    <mergeCell ref="AJ72:AM72"/>
    <mergeCell ref="AH73:AI73"/>
    <mergeCell ref="AJ73:AM73"/>
    <mergeCell ref="AH74:AI74"/>
    <mergeCell ref="AJ74:AM74"/>
    <mergeCell ref="AH75:AI75"/>
    <mergeCell ref="AJ75:AM75"/>
    <mergeCell ref="AH76:AI76"/>
    <mergeCell ref="AJ76:AM76"/>
    <mergeCell ref="AH77:AI77"/>
    <mergeCell ref="AJ77:AM77"/>
    <mergeCell ref="AH66:AI66"/>
    <mergeCell ref="AJ66:AM66"/>
    <mergeCell ref="AH67:AI67"/>
    <mergeCell ref="AJ67:AM67"/>
    <mergeCell ref="AH68:AI68"/>
    <mergeCell ref="AJ68:AM68"/>
    <mergeCell ref="AH63:AI63"/>
    <mergeCell ref="AJ63:AM63"/>
    <mergeCell ref="AH64:AI64"/>
    <mergeCell ref="AJ64:AM64"/>
    <mergeCell ref="AH65:AI65"/>
    <mergeCell ref="AJ65:AM65"/>
    <mergeCell ref="AH61:AI61"/>
    <mergeCell ref="AJ61:AM61"/>
    <mergeCell ref="AH62:AI62"/>
    <mergeCell ref="AJ62:AM62"/>
    <mergeCell ref="AH57:AI57"/>
    <mergeCell ref="AJ57:AM57"/>
    <mergeCell ref="AH58:AI58"/>
    <mergeCell ref="AJ58:AM58"/>
    <mergeCell ref="AH59:AI59"/>
    <mergeCell ref="AJ59:AM59"/>
    <mergeCell ref="AH54:AI54"/>
    <mergeCell ref="AJ54:AM54"/>
    <mergeCell ref="AH55:AI55"/>
    <mergeCell ref="AJ55:AM55"/>
    <mergeCell ref="AH56:AI56"/>
    <mergeCell ref="AJ56:AM56"/>
    <mergeCell ref="AH52:AI52"/>
    <mergeCell ref="AJ52:AM52"/>
    <mergeCell ref="AH60:AI60"/>
    <mergeCell ref="AJ60:AM60"/>
    <mergeCell ref="AH49:AI49"/>
    <mergeCell ref="AJ49:AM49"/>
    <mergeCell ref="AH50:AI50"/>
    <mergeCell ref="AJ50:AM50"/>
    <mergeCell ref="AH51:AI51"/>
    <mergeCell ref="AJ51:AM51"/>
    <mergeCell ref="AH34:AI34"/>
    <mergeCell ref="AJ34:AM34"/>
    <mergeCell ref="AH35:AI35"/>
    <mergeCell ref="AJ35:AM35"/>
    <mergeCell ref="AH36:AI36"/>
    <mergeCell ref="AJ36:AM36"/>
    <mergeCell ref="AH31:AI31"/>
    <mergeCell ref="AJ31:AM31"/>
    <mergeCell ref="AH32:AI32"/>
    <mergeCell ref="AJ32:AM32"/>
    <mergeCell ref="AH33:AI33"/>
    <mergeCell ref="AJ33:AM33"/>
    <mergeCell ref="AH28:AI28"/>
    <mergeCell ref="AJ28:AM28"/>
    <mergeCell ref="AH29:AI29"/>
    <mergeCell ref="AJ29:AM29"/>
    <mergeCell ref="AH30:AI30"/>
    <mergeCell ref="AJ30:AM30"/>
    <mergeCell ref="AH25:AI25"/>
    <mergeCell ref="AJ25:AM25"/>
    <mergeCell ref="AH26:AI26"/>
    <mergeCell ref="AJ26:AM26"/>
    <mergeCell ref="AH27:AI27"/>
    <mergeCell ref="AJ27:AM27"/>
    <mergeCell ref="AH22:AI22"/>
    <mergeCell ref="AJ22:AM22"/>
    <mergeCell ref="AH23:AI23"/>
    <mergeCell ref="AJ23:AM23"/>
    <mergeCell ref="AH24:AI24"/>
    <mergeCell ref="AJ24:AM24"/>
    <mergeCell ref="AH19:AI19"/>
    <mergeCell ref="AJ19:AM19"/>
    <mergeCell ref="AH20:AI20"/>
    <mergeCell ref="AJ20:AM20"/>
    <mergeCell ref="AH21:AI21"/>
    <mergeCell ref="AJ21:AM21"/>
    <mergeCell ref="AH16:AI16"/>
    <mergeCell ref="AJ16:AM16"/>
    <mergeCell ref="AH17:AI17"/>
    <mergeCell ref="AJ17:AM17"/>
    <mergeCell ref="AH18:AI18"/>
    <mergeCell ref="AJ18:AM18"/>
    <mergeCell ref="AH13:AI13"/>
    <mergeCell ref="AJ14:AM14"/>
    <mergeCell ref="AH14:AI14"/>
    <mergeCell ref="AH15:AI15"/>
    <mergeCell ref="AJ15:AM15"/>
    <mergeCell ref="A10:B12"/>
    <mergeCell ref="G10:AE10"/>
    <mergeCell ref="AF10:AG11"/>
    <mergeCell ref="AH10:AM12"/>
    <mergeCell ref="G8:R8"/>
    <mergeCell ref="W8:Z8"/>
    <mergeCell ref="AA8:AB8"/>
    <mergeCell ref="AC8:AE8"/>
    <mergeCell ref="AF8:AK8"/>
    <mergeCell ref="A2:AM2"/>
    <mergeCell ref="A3:AM3"/>
    <mergeCell ref="G6:J6"/>
    <mergeCell ref="N6:R6"/>
    <mergeCell ref="T6:Z6"/>
    <mergeCell ref="AA6:AF6"/>
  </mergeCells>
  <conditionalFormatting sqref="G6:J6">
    <cfRule type="expression" dxfId="14" priority="14">
      <formula>$G$6=""</formula>
    </cfRule>
  </conditionalFormatting>
  <conditionalFormatting sqref="G8:R8">
    <cfRule type="expression" dxfId="13" priority="12">
      <formula>$G$8=""</formula>
    </cfRule>
  </conditionalFormatting>
  <conditionalFormatting sqref="G13:AE52 G54:AE93 G95:AE95">
    <cfRule type="expression" dxfId="12" priority="15">
      <formula>G$11=""</formula>
    </cfRule>
  </conditionalFormatting>
  <conditionalFormatting sqref="N6:R6">
    <cfRule type="expression" dxfId="11" priority="13">
      <formula>$N$6=""</formula>
    </cfRule>
  </conditionalFormatting>
  <conditionalFormatting sqref="AA8:AB8">
    <cfRule type="expression" dxfId="10" priority="10">
      <formula>$AA$8=""</formula>
    </cfRule>
  </conditionalFormatting>
  <conditionalFormatting sqref="AA6:AF6">
    <cfRule type="expression" dxfId="9" priority="11">
      <formula>$AA$6=""</formula>
    </cfRule>
  </conditionalFormatting>
  <conditionalFormatting sqref="AE120:AM121">
    <cfRule type="expression" dxfId="8" priority="1">
      <formula>$AE$120=""</formula>
    </cfRule>
  </conditionalFormatting>
  <conditionalFormatting sqref="AE125:AM125">
    <cfRule type="expression" dxfId="7" priority="2">
      <formula>$AE$125=""</formula>
    </cfRule>
  </conditionalFormatting>
  <conditionalFormatting sqref="AF8:AK8">
    <cfRule type="expression" dxfId="6" priority="9">
      <formula>$AF$8=""</formula>
    </cfRule>
  </conditionalFormatting>
  <conditionalFormatting sqref="AK99:AK100">
    <cfRule type="expression" dxfId="5" priority="8">
      <formula>$AK$99=""</formula>
    </cfRule>
  </conditionalFormatting>
  <conditionalFormatting sqref="AK101:AK102">
    <cfRule type="expression" dxfId="4" priority="6">
      <formula>$AK$101=""</formula>
    </cfRule>
  </conditionalFormatting>
  <conditionalFormatting sqref="AK103:AK104">
    <cfRule type="expression" dxfId="3" priority="4">
      <formula>$AK$103=""</formula>
    </cfRule>
  </conditionalFormatting>
  <conditionalFormatting sqref="AL99:AL100">
    <cfRule type="expression" dxfId="2" priority="7">
      <formula>$AL$99=""</formula>
    </cfRule>
  </conditionalFormatting>
  <conditionalFormatting sqref="AL101:AL102">
    <cfRule type="expression" dxfId="1" priority="5">
      <formula>$AL$101=""</formula>
    </cfRule>
  </conditionalFormatting>
  <conditionalFormatting sqref="AL103:AL104">
    <cfRule type="expression" dxfId="0" priority="3">
      <formula>$AL$103=""</formula>
    </cfRule>
  </conditionalFormatting>
  <dataValidations count="2">
    <dataValidation type="list" allowBlank="1" showInputMessage="1" showErrorMessage="1" sqref="AI14:AI15 AH14:AH52 AH54:AI93" xr:uid="{C077DAF0-1025-43B0-BA54-957887E5C522}">
      <formula1>"NLS, Transferred In, Transferred Out"</formula1>
    </dataValidation>
    <dataValidation type="list" allowBlank="1" showInputMessage="1" showErrorMessage="1" sqref="AH13:AI13" xr:uid="{D9D08DA2-D1B5-4C6F-B020-955DCFD29B16}">
      <formula1>"NLS,Transferred In, Transferred Out"</formula1>
    </dataValidation>
  </dataValidations>
  <pageMargins left="0.59055118110236227" right="0.59055118110236227" top="0.59055118110236227" bottom="0.59055118110236227" header="0.51181102362204722" footer="0.51181102362204722"/>
  <pageSetup paperSize="9" scale="56" orientation="landscape" horizontalDpi="0" verticalDpi="0" r:id="rId1"/>
  <ignoredErrors>
    <ignoredError sqref="A14:A52 A55:A93 AK112:AL117 AM112:AM117 AK110:AM111 AK106:AM106 AK105:AL105 AM99:AM100 AM103:AM104" unlockedFormula="1"/>
    <ignoredError sqref="AF53:AG53" 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Jane Lacap</dc:creator>
  <cp:lastModifiedBy>Mary Jane Lacap</cp:lastModifiedBy>
  <cp:lastPrinted>2025-11-23T11:21:33Z</cp:lastPrinted>
  <dcterms:created xsi:type="dcterms:W3CDTF">2025-11-12T11:05:32Z</dcterms:created>
  <dcterms:modified xsi:type="dcterms:W3CDTF">2025-11-24T14:36:37Z</dcterms:modified>
</cp:coreProperties>
</file>